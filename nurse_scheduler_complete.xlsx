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송민영\Desktop\근무표 프로그램\완전판\"/>
    </mc:Choice>
  </mc:AlternateContent>
  <xr:revisionPtr revIDLastSave="0" documentId="13_ncr:1_{988B63CA-DCF1-45ED-B373-E8489EFFC8D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설명서" sheetId="1" r:id="rId1"/>
    <sheet name="Setup" sheetId="2" r:id="rId2"/>
    <sheet name="Nurses" sheetId="3" r:id="rId3"/>
    <sheet name="Holidays" sheetId="4" r:id="rId4"/>
    <sheet name="Restrictions" sheetId="5" r:id="rId5"/>
    <sheet name="OffRequests" sheetId="6" r:id="rId6"/>
    <sheet name="ShiftPreferences" sheetId="7" r:id="rId7"/>
    <sheet name="PrevMonth" sheetId="8" r:id="rId8"/>
    <sheet name="Schedule" sheetId="9" r:id="rId9"/>
    <sheet name="RequestsSummary" sheetId="10" r:id="rId10"/>
    <sheet name="Validation" sheetId="11" r:id="rId11"/>
    <sheet name="DailyCoverag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8" l="1"/>
  <c r="A51" i="7"/>
  <c r="A51" i="6"/>
  <c r="A51" i="5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2" i="8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2" i="7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2" i="6"/>
</calcChain>
</file>

<file path=xl/sharedStrings.xml><?xml version="1.0" encoding="utf-8"?>
<sst xmlns="http://schemas.openxmlformats.org/spreadsheetml/2006/main" count="375" uniqueCount="296">
  <si>
    <t>Scheduler Controls</t>
  </si>
  <si>
    <t>Year</t>
  </si>
  <si>
    <t>Enter year</t>
  </si>
  <si>
    <t>Run: python nurse_scheduler_complete.py nurse_scheduler_complete.xlsx</t>
  </si>
  <si>
    <t>Month</t>
  </si>
  <si>
    <t>1-12 입력가능</t>
  </si>
  <si>
    <t>Needs: pip install openpyxl ortools</t>
  </si>
  <si>
    <t>이번 달 기본 오프</t>
  </si>
  <si>
    <t>이 개수를 초과하면 근무표에 S로 표시됨</t>
  </si>
  <si>
    <t>Weekday D</t>
  </si>
  <si>
    <t>평일 day shift</t>
  </si>
  <si>
    <t>Weekday E</t>
  </si>
  <si>
    <t>평일 evening shift</t>
  </si>
  <si>
    <t>Weekday N</t>
  </si>
  <si>
    <t>평일 night shift</t>
  </si>
  <si>
    <t>Weekday M</t>
  </si>
  <si>
    <t>평일 middle shift</t>
  </si>
  <si>
    <t>Weekend/Holiday D</t>
  </si>
  <si>
    <t>주말 day shift</t>
  </si>
  <si>
    <t>Weekend/Holiday E</t>
  </si>
  <si>
    <t>주말 evening shift</t>
  </si>
  <si>
    <t>Weekend/Holiday N</t>
  </si>
  <si>
    <t>주말 night shift</t>
  </si>
  <si>
    <t>Weekend/Holiday M</t>
  </si>
  <si>
    <t>주말 middle shift</t>
  </si>
  <si>
    <t>Max consecutive work days</t>
  </si>
  <si>
    <t>듀티 최대 연속개수 ( 절대규칙 )</t>
  </si>
  <si>
    <t>Max consecutive D</t>
  </si>
  <si>
    <t>단일 day 최대 연속개수</t>
  </si>
  <si>
    <t>Max consecutive E</t>
  </si>
  <si>
    <t>단일 evening 최대 연속개수</t>
  </si>
  <si>
    <t>Max consecutive night days</t>
  </si>
  <si>
    <t>단일 night 최대 연속개수  ( 절대규칙 )</t>
  </si>
  <si>
    <t>Minimum consecutive night days</t>
  </si>
  <si>
    <t>단일 night 최소 연속개수  ( 절대규칙 )</t>
  </si>
  <si>
    <t>Off days after a night block</t>
  </si>
  <si>
    <t>나이트 후 최소 오프개수 ( 절대규칙 )</t>
  </si>
  <si>
    <t>Solver time limit (sec)</t>
  </si>
  <si>
    <t>컴퓨터 계산 시간 (조건이 많으면 시간을 많이 부여해주세요)</t>
  </si>
  <si>
    <t>Preference miss penalty</t>
  </si>
  <si>
    <t>Higher = prioritize preferences more</t>
  </si>
  <si>
    <t>Fairness weight: total work</t>
  </si>
  <si>
    <t>Balances total work days</t>
  </si>
  <si>
    <t>Fairness weight: nights</t>
  </si>
  <si>
    <t>Balances night counts</t>
  </si>
  <si>
    <t>Fairness weight: days</t>
  </si>
  <si>
    <t>Balances DAY counts</t>
  </si>
  <si>
    <t>Fairness weight: evenings</t>
  </si>
  <si>
    <t>Balances EVE counts</t>
  </si>
  <si>
    <t>Fairness weight: weekend work</t>
  </si>
  <si>
    <t>Balances weekend/holiday work</t>
  </si>
  <si>
    <t>설명</t>
  </si>
  <si>
    <t>Solver time limit (sec) (최대 계산 시간): 컴퓨터가 정답을 찾기 위해 고민할 수 있는 시간(초 단위)입니다.  조건이 많거나 에러(시간 초과)가 난다면 이 숫자를 600 정도로 넉넉하게 늘려주세요.</t>
  </si>
  <si>
    <t>Preference miss penalty (선호 근무 무시 벌점): 선생님들이 신청한 듀티(E or D 등)를 안 들어줬을 때 컴퓨터가 받는 벌점입니다. 이 숫자를 높게 바꿀수록 컴퓨터는 신청 듀티를 무조건 100% 들어주려고 노력하게 됩니다.</t>
  </si>
  <si>
    <t xml:space="preserve">total work: 총 출근 일수를 똑같이 맞추려는 노력 점수 </t>
  </si>
  <si>
    <t>nights: 나이트 개수를 똑같이 맞추려는 노력 점수</t>
  </si>
  <si>
    <t>days / evenings: 데이와 이브닝 개수를 똑같이 맞추려는 노력 점수</t>
  </si>
  <si>
    <t>weekend work: 주말 출근 횟수를 똑같이 맞추려는 노력 점수</t>
  </si>
  <si>
    <t>절대규칙 : 만약 스케줄이 꼬여서 이 규칙을 어겨야만 근무표가 완성되는 상황이 오면, 컴퓨터는 규칙을 어기는 대신 차라리 "스케줄을 짤 수 없습니다!" 하고 에러를 내며 작동을 멈춥니다.</t>
  </si>
  <si>
    <t>🏥 [근무표 자동화 스케줄러 사용 설명서]</t>
  </si>
  <si>
    <t xml:space="preserve">만든사람: </t>
  </si>
  <si>
    <t>동남보건대 간호학과 21학번 송민영</t>
  </si>
  <si>
    <t>마음껏 사용해주시고 피드백, 원하는 기능, 수정해야할 점, 오류 등 알려주시면 감사하겠습니다. (alex0840@naver.com)</t>
  </si>
  <si>
    <t>본 프로그램은 간호사들의 수면권 보장, 공평한 근무 배분, 그리고 병동의 안전한 운영을 위해 AI(구글 최적화 알고리즘)가 수백만 번의 계산을 거쳐 최적의 근무표를 짜주는 스마트 스케줄러입니다.</t>
  </si>
  <si>
    <t>🚫 제 1장. 절대 불변의 기본 규칙 (자동 적용)</t>
  </si>
  <si>
    <t>이 규칙들은 간호사의 건강과 병동 안전을 위해 컴퓨터가 절대적으로 지키도록 설계된 '수정 불가능한' 뼈대 규칙입니다.</t>
  </si>
  <si>
    <t>1. 수면권 및 바이오리듬 보장 (최악의 듀티 차단)</t>
  </si>
  <si>
    <t>E ➔ D 금지: 이브닝 후 데이 출근 절대 금지</t>
  </si>
  <si>
    <t>M ➔ D, E ➔ M 금지: 미들(M) 근무 전후의 무리한 교대 금지</t>
  </si>
  <si>
    <t>N ➔ O ➔ D 금지: 나이트 후 하루 쉬고 데이 출근 절대 금지</t>
  </si>
  <si>
    <t>N ➔ O ➔ N 억제: 나이트 후 하루(또는 며칠) 쉬고 완충 듀티 없이 다시 나이트 출근 억제 (월초/월말 나이트 몰림 방지)</t>
  </si>
  <si>
    <t>O ➔ W ➔ O (퐁당퐁당) 금지: 오프 후 하루만 일하고 다시 오프를 부여하는 징검다리 근무 원천 차단</t>
  </si>
  <si>
    <t>2. 환자 안전 및 병동 운영 보장</t>
  </si>
  <si>
    <t>듀티별 필수 경력자(Charge) 배치: 모든 날짜의 D, E, N, M 근무에는 반드시 '차지 권한'이 있는 경력 간호사가 최소 1명 이상 배치됨. (신규들로만 구성된 듀티 발생 불가)</t>
  </si>
  <si>
    <t>3. 나이트 전담(Night Keep) 특수 보호</t>
  </si>
  <si>
    <t>데이(D), 이브닝(E), 미들(M) 근무 절대 배정 안 됨.</t>
  </si>
  <si>
    <t>한 달에 정확히 15개의 나이트(N)만 배정되며 나머지는 올 오프(O).</t>
  </si>
  <si>
    <t>단, 연속 나이트 횟수나 휴식일은 일반 간호사와 똑같이 엑셀(Setup) 규칙을 따름.</t>
  </si>
  <si>
    <t>4. 스마트 공평성 유지</t>
  </si>
  <si>
    <t>경력자는 경력자끼리, 일반/신규는 일반/신규끼리 총 근무 수, 나이트 수, 데이/이브닝 수, 주말 근무 수가 최대한 똑같아지도록 컴퓨터가 알아서 분배함.</t>
  </si>
  <si>
    <t>✏️ 제 2장. 스케줄 세팅 방법 (엑셀 입력란)</t>
  </si>
  <si>
    <t>엑셀의 각 시트(Sheet)에 정보를 입력하여 병동 상황에 맞게 스케줄을 조종할 수 있습니다.</t>
  </si>
  <si>
    <t>1️⃣ [Setup] 시트 (기본 설정)</t>
  </si>
  <si>
    <t>Year / Month: 근무표를 짤 연도와 월</t>
  </si>
  <si>
    <t>이번 달 기본 오프: 이번 달 공휴일을 포함한 기본 오프 개수 (이 개수를 넘어서 쉬는 날은 스케줄표에 S로 표시됨)</t>
  </si>
  <si>
    <t>Weekday / Weekend Req: 평일 및 주말/공휴일의 듀티별(D, E, N, M) 필요 인원수</t>
  </si>
  <si>
    <t>Max consecutive ~ : 최대 연속 출근 일수, 최대 연속 D/E 일수</t>
  </si>
  <si>
    <t>Max / Min consecutive night days: 나이트 최대 / 최소 연속 일수</t>
  </si>
  <si>
    <t>Off days after a night block: 나이트 근무가 끝난 뒤 반드시 며칠을 쉬게 할 것인지 설정 (통상 2일)</t>
  </si>
  <si>
    <t>2️⃣ [Nurses] 시트 (간호사 명단 및 권한) ★가장 중요★</t>
  </si>
  <si>
    <t>Nurse Name: 간호사 이름 (모든 시트의 이름 순서는 동일해야 함)</t>
  </si>
  <si>
    <t xml:space="preserve">경력(Y/N) [차지 권한 부여]: 원하는 듀티에만 차지를 부여할 수 있습니다. </t>
  </si>
  <si>
    <t>D차지 ➔ 데이 때만 경력직으로 인정</t>
  </si>
  <si>
    <t>E차지 ➔ 이브닝 때만 경력직으로 인정</t>
  </si>
  <si>
    <t>N차지 ➔ 나이트 때만 경력직으로 인정 (데이/이브 때는 일반 간호사 취급)</t>
  </si>
  <si>
    <t>D, E 차지 또는 D/E차지 ➔ 데이와 이브닝 둘 다 경력직 인정</t>
  </si>
  <si>
    <t>데이, 이브닝 차지 ➔ 한글로 적어도 알파벳과 똑같이 알아듣습니다!</t>
  </si>
  <si>
    <t>Y ➔ 모든 듀티에서 경력직으로 완전 인정</t>
  </si>
  <si>
    <t>최대 오프 개수: 각 간호사의 남은 연차 등을 고려해 이번 달 최대 쉴 수 있는 개수 기입 (비워두면 무제한 허용)</t>
  </si>
  <si>
    <t>나이트전담(Y/N): 나이트 전담 선생님만 Y 기입</t>
  </si>
  <si>
    <t>비고 (E열): 신규 간호사 프리셉터 매칭 기능</t>
  </si>
  <si>
    <t>신규 선생님의 E열에 프리셉터 선생님 이름(예: 이선희)을 적으면, 프리셉터가 출근하는 날짜와 듀티에만 신규 간호사가 똑같이 출근하게 됩니다.</t>
  </si>
  <si>
    <t>3️⃣ [Holidays] 시트 (휴일 및 특수 인원 추가)</t>
  </si>
  <si>
    <t>날짜 지정: 주말 외에 달력상 빨간 날을 지정합니다.</t>
  </si>
  <si>
    <t>Optional Note [특정 날짜 인원 마음대로 추가하기]:</t>
  </si>
  <si>
    <t>명절이나 유독 바쁜 평일에 인원을 임시로 더 넣고 싶을 때 사용합니다.</t>
  </si>
  <si>
    <t>D2 ➔ 데이 2명 추가 배치</t>
  </si>
  <si>
    <t>D1, E1 ➔ 데이 1명, 이브닝 1명 추가 배치</t>
  </si>
  <si>
    <t>M ➔ 미들 1명 추가 배치</t>
  </si>
  <si>
    <t>숫자 없이 알파벳만 쓰면 자동으로 1명 추가로 인식합니다.</t>
  </si>
  <si>
    <t>4️⃣ [ShiftPreferences] 시트 (선호 듀티 신청)</t>
  </si>
  <si>
    <t xml:space="preserve">  선생님들이 원하는 근무를 신청하는 곳입니다.</t>
  </si>
  <si>
    <t xml:space="preserve">  다중 선택 기능: "데이나 이브닝 아무거나 줘!"가 가능합니다.</t>
  </si>
  <si>
    <t xml:space="preserve">  엑셀 칸에 E or D, E, D, E/D 라고 자유롭게 적으면, 컴퓨터가 알아서 둘 중 하나를 찰떡같이 배정해 줍니다.</t>
  </si>
  <si>
    <t>5️⃣ 기타 시트</t>
  </si>
  <si>
    <t>[OffRequests]: 무조건 쉬어야 하는 날(신청 오프). O, OFF, 1 등으로 표시.</t>
  </si>
  <si>
    <t>[Restrictions]: 이번 달에 나이트를 아예 하면 안 되는 선생님(임산부, 진단서 등)은 Y로 체크.</t>
  </si>
  <si>
    <t>[PrevMonth] (전월 근무 이월): 지난달 마지막 5일의 듀티를 적어두면, 연속 근무 횟수와 나이트 휴식 조건이 이번 달 1일로 완벽하게 이월되어 계산됩니다.</t>
  </si>
  <si>
    <t xml:space="preserve">   [Validation, DailyCoverage] : 프로그램이 규칙에 맞게 듀티가 배분되었는지 자동 확인하는 시트입니다. 신경 안써도 됩니다</t>
  </si>
  <si>
    <t xml:space="preserve">  [RequestsSummary]: 신청 듀티, 신청 오프가 반려 되었을때의 내용이 자동으로 적힙니다.</t>
  </si>
  <si>
    <t>🚨 제 3장. 에러 방지 주의사항 (필독!)</t>
  </si>
  <si>
    <t>1. 날짜 띄어쓰기 절대 금지 (Holidays 시트): * A열의 날짜칸(YYYY-MM-DD)에 스페이스바(빈칸)가 들어가면 컴퓨터가 날짜로 인식하지 못해 에러가 납니다.</t>
  </si>
  <si>
    <t>2. 이름(오타) 통일:</t>
  </si>
  <si>
    <t>3. 불가능한 조건 조심:</t>
  </si>
  <si>
    <t>"모두가 1일에 오프를 원한다"거나, "필요 인원은 10명인데 5명이 휴가를 갔다"는 등 수학적으로 도저히 불가능한 상황에서는 컴퓨터가 INFEASIBLE(충돌) 에러를 띄웁니다. 이때는 인원수나 오프 신청을 살짝 조율해 주셔야 합니다.</t>
  </si>
  <si>
    <t xml:space="preserve"> 4. 시트의 이름, 입력란 외 이름, 입력란의 행과 열을 바꾸면 프로그램이 인식하지 못합니다!</t>
  </si>
  <si>
    <t>(스케줄 작성 완료 후 엑셀을 저장 후 종료한 뒤에 .exe 파일을 더블클릭하시면 됩니다!)</t>
  </si>
  <si>
    <t>액셀 파일과 실행 exe 파일을 한 폴더안에 넣어야 작동이 됩니다! 엑셀과 프로그램 파일 이름을 바꾸지 마세요!</t>
  </si>
  <si>
    <t>프로그램창 (CMD) 해석</t>
  </si>
  <si>
    <t>근무표 작성이 완료되면 까만 창 맨 아래에 두 줄의 영어 메시지가 뜹니다. 이것은 AI(인공지능)가 스케줄을 짜면서 겪은 과정과 결과물의 점수를 알려주는 보고서입니다.</t>
  </si>
  <si>
    <t>1️⃣ Solver status (컴퓨터의 최종 상태 보고)</t>
  </si>
  <si>
    <t>컴퓨터가 근무표를 성공적으로 완성했는지, 아니면 규칙이 너무 빡빡해서 실패했는지를 알려줍니다.</t>
  </si>
  <si>
    <t>OPTIMAL (가장 이상적!)</t>
  </si>
  <si>
    <t>의미: 주어진 조건 안에서 수학적으로 가장 완벽하고 공평한 1등 스케줄을 찾아냈습니다</t>
  </si>
  <si>
    <t>상태: 안심하고 엑셀 근무표를 확인하시면 됩니다.</t>
  </si>
  <si>
    <t>FEASIBLE (쓸만한 스케줄 완성)</t>
  </si>
  <si>
    <t>의미: 100점짜리 정답인지는 확신할 수 없지만, 모든 절대 규칙(Hard)을 완벽하게 지킨 스케줄을 일단 완성했습니다</t>
  </si>
  <si>
    <t>상태: 엑셀 근무표를 그대로 사용하셔도 무방합니다. (더 완벽한 결과를 원하시면 Setup 시트의 시간을 늘리고 다시 돌려보세요.)</t>
  </si>
  <si>
    <t>INFEASIBLE (작성 실패 - 규칙 충돌) 🚨</t>
  </si>
  <si>
    <t>의미: 스케줄을 짤 수가 없습니다! 조건들이 서로 모순됩니다</t>
  </si>
  <si>
    <t>상태: 근무표 작성에 실패하여 엑셀이 업데이트되지 않습니다. (주로 1순위 오프가 너무 많거나, 출근할 인원이 부족할 때 발생합니다. 인원이나 오프를 수정하고 다시 돌려주세요.)</t>
  </si>
  <si>
    <t>UNKNOWN (작성 실패 - 시간 초과) 🚨</t>
  </si>
  <si>
    <t>의미: 규칙이 너무 복잡해서 제한 시간 안에 단 한 개의 스케줄도 완성하지 못했습니다.</t>
  </si>
  <si>
    <t>상태: Setup 시트의 Solver time limit (sec) 시간을 600초 이상으로 넉넉히 늘리거나, 연속 근무 제한을 살짝 풀어주세요.</t>
  </si>
  <si>
    <t>2️⃣ Objective value (AI의 스케줄 채점표 / 벌점)</t>
  </si>
  <si>
    <t>의미: 이 숫자는 인공지능이 스케줄을 짜면서 받은 벌점(Penalty)의 총합입니다.</t>
  </si>
  <si>
    <t>해석 방법: "숫자가 낮을수록(0에 가까울수록) 훌륭한 근무표입니다!"</t>
  </si>
  <si>
    <t>컴퓨터는 무조건 이 벌점을 낮추기 위해 수백만 번의 경우의 수를 계산합니다.</t>
  </si>
  <si>
    <t>벌점이 올라가는(숫자가 커지는) 이유:</t>
  </si>
  <si>
    <t>1. 선생님들이 신청한 듀티(E or D 등)를 어쩔 수 없이 못 들어줬을 때</t>
  </si>
  <si>
    <t>2. 2순위, 3순위 오프 신청을 반려하고 출근시켰을 때</t>
  </si>
  <si>
    <t>3. 간호사들 간의 총 근무 일수나 나이트 개수가 공평하게 딱 떨어지지 않았을 때</t>
  </si>
  <si>
    <t>Nurse Name</t>
  </si>
  <si>
    <t>경력(Y/N)</t>
  </si>
  <si>
    <t>최대 오프(O+S) 개수</t>
  </si>
  <si>
    <t>나이트전담(Y/N)</t>
  </si>
  <si>
    <t>프리셉터</t>
  </si>
  <si>
    <t>간호사1</t>
  </si>
  <si>
    <t>간호사2</t>
  </si>
  <si>
    <t>신입 간호사 (연차 불가): 이번 달의 기본 오프 개수(예: 10개라면 10)를 적습니다. (기본 오프만 받고 S는 절대 생기지 않습니다.)</t>
  </si>
  <si>
    <t>간호사3</t>
  </si>
  <si>
    <t>경력 간호사 (연차 사용): 기본 오프 + 남은 연차 개수(예: 10 + 2 = 12)를 적습니다.</t>
  </si>
  <si>
    <t>간호사4</t>
  </si>
  <si>
    <t>제한 없음: 칸을 아예 비워두면 프로그램이 알아서 상황에 맞게 S를 분배합니다.</t>
  </si>
  <si>
    <t>간호사5</t>
  </si>
  <si>
    <t>간호사6</t>
  </si>
  <si>
    <t>경력간호사: Y 로 표시</t>
  </si>
  <si>
    <t>간호사7</t>
  </si>
  <si>
    <t>신입간호사: N로(또는 빈칸) 표시</t>
  </si>
  <si>
    <t>간호사8</t>
  </si>
  <si>
    <t>y는 무조건 한명이상 체크해주세요. Y 라고 체크하면 각 듀티마다 y가 한명 이상 배정됩니다.</t>
  </si>
  <si>
    <t>간호사9</t>
  </si>
  <si>
    <t>간호사10</t>
  </si>
  <si>
    <t>나이트 전담 선생님의 D열 칸에만 Y (또는 소문자 y)를 적어줍니다. (나머지 선생님들은 비워두시면 됩니다.)</t>
  </si>
  <si>
    <t>간호사11</t>
  </si>
  <si>
    <t>간호사12</t>
  </si>
  <si>
    <t>신규 선생님 칸에 프리셉터 선생님의 이름을 적어주세요</t>
  </si>
  <si>
    <t>홍길동 ➔ (1인분 가능) 프리셉터와 듀티를 똑같이 따라가면서, 병동 인원 1명으로 카운트됩니다.</t>
  </si>
  <si>
    <t>홍길동 (no duty) ➔ (완전 신입) 프리셉터 듀티를 따라가지만, 투명인간 취급되어 병동 인원 카운트에서 제외됩니다. (※ 대소문자나 띄어쓰기는 상관없습니다. (NO DUTY), no duty 등 편하게 적으시면 됩니다!)</t>
  </si>
  <si>
    <t>tip: 최대 오프 개수가 너무 적어서 모든 칸을 채울 수 없는 경우 에러가 납니다. 연차를 사용하거나 m 근무 추가, 하루 듀티 최대 수를 늘려주세요</t>
  </si>
  <si>
    <t>Date (YYYY-MM-DD)</t>
  </si>
  <si>
    <t>Optional Note</t>
  </si>
  <si>
    <t>공휴일: 날짜만 적거나, 날짜를 적고 Note 칸에 '삼일절' 등 한글로 적습니다. (주말 듀티 인원으로 계산)</t>
  </si>
  <si>
    <t>평일인데 유독 바빠서 '인원만 추가'하고 싶을 때 (한글 입력 금지!)</t>
  </si>
  <si>
    <t>입력 예시: D2, E1, M, D1, E1</t>
  </si>
  <si>
    <t>작동 원리: 한글 없이 알파벳과 숫자만 적으면, 평일 + 듀티추가로 인식합니다</t>
  </si>
  <si>
    <t>예시: d2,n1 - 평일 기본 듀티 + 데이 2명, 나이트 1명을 더 추가합니다</t>
  </si>
  <si>
    <t>공휴일이면서 동시에 '인원도 추가'하고 싶을 때</t>
  </si>
  <si>
    <t>입력 예시: 삼일절 D2, 추석(E1), 대체휴일 D1, N1</t>
  </si>
  <si>
    <t>작동 원리: 한글(기념일 이름)과 영어(듀티 추가)를 섞어서 적으면, 주말 듀티 인원 뼈대를 가져온 상태에서 추가 인원까지 완벽하게 덧붙여서 배정합니다.</t>
  </si>
  <si>
    <t>예시: 한글날 ( d2, n1 ) - 평일 기본 듀티 + 데이 2명, 나이트 1명을 더 추가합니다</t>
  </si>
  <si>
    <t>대소문자/띄어쓰기 자유: d2, D2, D 2, (D2) 모두 똑같이 인식합니다</t>
  </si>
  <si>
    <t>숫자 생략 가능: 숫자를 안 적고 그냥 D 또는 M이라고만 적으면 자동으로 **'1명 추가'**로 똑똑하게 계산합니다.</t>
  </si>
  <si>
    <t>여러 듀티 동시 추가: D2, E1, D2/E1, D2 E1 처럼 기호나 띄어쓰기로 대충 구분해서 적으셔도 다 알아듣습니다.</t>
  </si>
  <si>
    <t>Nurse</t>
  </si>
  <si>
    <t>NoNight (Y/N)</t>
  </si>
  <si>
    <t>Note</t>
  </si>
  <si>
    <t>이번 달에 나이트를 아예 하면 안 되는 선생님(임산부, 진단서 등)은 Y로 체크.</t>
  </si>
  <si>
    <t>1 (또는 O, OFF Y) 입력 : 1순위 오프 (절대 규칙 / Hard)</t>
  </si>
  <si>
    <t xml:space="preserve"> 100% 쉬게 해줍니다. (경조사, 필수 연차 등)</t>
  </si>
  <si>
    <t>만약 1순위에서 오프 배정이 안된다면 스케줄 안 만들어지고 에러가 생깁니다 ( 절대규칙 )</t>
  </si>
  <si>
    <t>2 입력 : 2순위 오프 (강한 희망 / Soft)</t>
  </si>
  <si>
    <t>컴퓨터가 최대한 오프를 주려고 노력하지만, 도저히 스케줄이 안 나오면 눈물을 머금고 출근(D, E, N)으로 바꿉니다.</t>
  </si>
  <si>
    <t>3 입력 : 3순위 오프 (약한 희망 / Soft)</t>
  </si>
  <si>
    <t>스케줄이 꼬일 때 가장 먼저 오프가 취소(반려)되는 타겟이 됩니다.</t>
  </si>
  <si>
    <t>★ 스케줄 결과 확인</t>
  </si>
  <si>
    <t>컴퓨터가 도저히 안 되어서 2순위나 3순위 오프를 잘라내고 출근을 시켰다면,</t>
  </si>
  <si>
    <t>엑셀 결과표에 빨간색 칸으로 칠해지고 메모에 [3순위 오프 반려 (배정: D)] 처럼 표시되어 한눈에 취소된 사람을 찾아낼 수 있습니다!</t>
  </si>
  <si>
    <t>선생님들이 원하는 근무를 신청하는 곳입니다.</t>
  </si>
  <si>
    <t>다중 선택 기능: "데이나 이브닝 아무거나"가 가능합니다.</t>
  </si>
  <si>
    <t>엑셀 칸에 E or D, E, D, E/D 라고 자유롭게 적으면, 컴퓨터가 알아서 둘 중 하나를 배정해 줍니다.</t>
  </si>
  <si>
    <t>Allowed markers: D, E, N, M 입력가능</t>
  </si>
  <si>
    <t>D-5</t>
  </si>
  <si>
    <t>D-4</t>
  </si>
  <si>
    <t>D-3</t>
  </si>
  <si>
    <t>D-2</t>
  </si>
  <si>
    <t>D-1</t>
  </si>
  <si>
    <t>전 달 마지막 5일의 듀티를 작성합니다. 프로그램이 전 달 마지막 근무 5일을 규칙에 반영합니다</t>
  </si>
  <si>
    <t>D, E, N, M, O 중 하나를 적습니다. (칸을 비워두시면 무조건 오프(O)로 간주합니다.)</t>
  </si>
  <si>
    <t>Final Schedule</t>
  </si>
  <si>
    <t>Type</t>
  </si>
  <si>
    <t>WH</t>
  </si>
  <si>
    <t>WD</t>
  </si>
  <si>
    <t>TotalWork</t>
  </si>
  <si>
    <t>D</t>
  </si>
  <si>
    <t>E</t>
  </si>
  <si>
    <t>N</t>
  </si>
  <si>
    <t>Off(O+S)</t>
  </si>
  <si>
    <t>S</t>
  </si>
  <si>
    <t>WeekendWork</t>
  </si>
  <si>
    <t>PrefReq</t>
  </si>
  <si>
    <t>PrefHit</t>
  </si>
  <si>
    <t>PrefMiss</t>
  </si>
  <si>
    <t>Date</t>
  </si>
  <si>
    <t>Requested</t>
  </si>
  <si>
    <t>Assigned</t>
  </si>
  <si>
    <t>Status</t>
  </si>
  <si>
    <t>MaxWorkRun</t>
  </si>
  <si>
    <t>MaxNightRun</t>
  </si>
  <si>
    <t>NightRestViol</t>
  </si>
  <si>
    <t>E→D Viol</t>
  </si>
  <si>
    <t>O-W-O Viol</t>
  </si>
  <si>
    <t>NoNight Viol</t>
  </si>
  <si>
    <t>OffReq Viol</t>
  </si>
  <si>
    <t>Overall</t>
  </si>
  <si>
    <t>ReqD</t>
  </si>
  <si>
    <t>ActD</t>
  </si>
  <si>
    <t>ReqE</t>
  </si>
  <si>
    <t>ActE</t>
  </si>
  <si>
    <t>ReqN</t>
  </si>
  <si>
    <t>ActN</t>
  </si>
  <si>
    <t>OK?</t>
  </si>
  <si>
    <t>간호관리학 실습 중 급하게 제작한 프로그램입니다. 부족한 점이 많습니다 (마지막 수정 2026/03/30)</t>
    <phoneticPr fontId="4" type="noConversion"/>
  </si>
  <si>
    <t>간호사13</t>
  </si>
  <si>
    <t>간호사14</t>
  </si>
  <si>
    <t>간호사15</t>
  </si>
  <si>
    <t>간호사16</t>
  </si>
  <si>
    <t>간호사17</t>
  </si>
  <si>
    <t>간호사18</t>
  </si>
  <si>
    <t>간호사19</t>
  </si>
  <si>
    <t>간호사20</t>
  </si>
  <si>
    <t>간호사21</t>
  </si>
  <si>
    <t>간호사22</t>
  </si>
  <si>
    <t>간호사23</t>
  </si>
  <si>
    <t>간호사24</t>
  </si>
  <si>
    <t>간호사25</t>
  </si>
  <si>
    <t>간호사26</t>
  </si>
  <si>
    <t>간호사27</t>
  </si>
  <si>
    <t>간호사28</t>
  </si>
  <si>
    <t>간호사29</t>
  </si>
  <si>
    <t>간호사30</t>
  </si>
  <si>
    <t>간호사31</t>
  </si>
  <si>
    <t>간호사32</t>
  </si>
  <si>
    <t>간호사33</t>
  </si>
  <si>
    <t>간호사34</t>
  </si>
  <si>
    <t>간호사35</t>
  </si>
  <si>
    <t>간호사36</t>
  </si>
  <si>
    <t>간호사37</t>
  </si>
  <si>
    <t>간호사38</t>
  </si>
  <si>
    <t>간호사39</t>
  </si>
  <si>
    <t>간호사40</t>
  </si>
  <si>
    <t>간호사41</t>
  </si>
  <si>
    <t>간호사42</t>
  </si>
  <si>
    <t>간호사43</t>
  </si>
  <si>
    <t>간호사44</t>
  </si>
  <si>
    <t>간호사45</t>
  </si>
  <si>
    <t>간호사46</t>
  </si>
  <si>
    <t>간호사47</t>
  </si>
  <si>
    <t>간호사48</t>
  </si>
  <si>
    <t>간호사49</t>
  </si>
  <si>
    <t>간호사50</t>
  </si>
  <si>
    <t>Nurses 시트에 적힌 이름과 OffRequests, ShiftPreferences 등 간호사 이름이 들어간 모든 시트의 이름과 순서가 반드시 일치해야 합니다. (간호사 퇴사/입사로 인원을 수정할 때는 세 시트 모두 똑같이 수정해 주세요. 자동 반영 되는데 간호사 순서 밀림에 주의해주세요)</t>
    <phoneticPr fontId="4" type="noConversion"/>
  </si>
  <si>
    <t>성균관대 기계공학부 20학번 김정진</t>
    <phoneticPr fontId="4" type="noConversion"/>
  </si>
  <si>
    <t>막내 여부(Y)</t>
    <phoneticPr fontId="4" type="noConversion"/>
  </si>
  <si>
    <t>막내 여부: 막내 여부를 두 명 이상 Y 체크하면 막내끼리는 같은 듀티에 가급적 배치하지 않습니다</t>
    <phoneticPr fontId="4" type="noConversion"/>
  </si>
  <si>
    <t>Fairness weight (공평성 가중치): 간호사들끼리 특정 듀티의 개수가 차이 날 때마다 컴퓨터가 받는 벌점입니다. 이 숫자가 클수록 컴퓨터가 간호사들 간의 개수를 아주 칼같이 똑맞추려고 노력합니다. 10000점이 기본설정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</si>
</sst>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24"/>
      <color theme="1"/>
      <name val="맑은 고딕"/>
      <family val="2"/>
      <charset val="129"/>
      <scheme val="minor"/>
    </font>
    <font>
      <b/>
      <sz val="18"/>
      <color theme="3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0"/>
      <color rgb="FF00B050"/>
      <name val="맑은 고딕"/>
      <family val="3"/>
      <charset val="129"/>
      <scheme val="minor"/>
    </font>
    <font>
      <b/>
      <sz val="14"/>
      <color rgb="FF00B050"/>
      <name val="맑은 고딕"/>
      <family val="3"/>
      <charset val="129"/>
      <scheme val="minor"/>
    </font>
    <font>
      <b/>
      <sz val="20"/>
      <color rgb="FF00B05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0"/>
      <color rgb="FFFF0000"/>
      <name val="Arial Unicode MS"/>
      <family val="2"/>
    </font>
    <font>
      <sz val="12"/>
      <color theme="1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Arial Unicode MS"/>
      <family val="2"/>
    </font>
    <font>
      <b/>
      <sz val="12"/>
      <color rgb="FFFF0000"/>
      <name val="맑은 고딕"/>
      <family val="3"/>
      <charset val="129"/>
    </font>
    <font>
      <b/>
      <sz val="10"/>
      <color theme="1"/>
      <name val="Arial Unicode MS"/>
      <family val="3"/>
      <charset val="129"/>
    </font>
    <font>
      <b/>
      <sz val="11"/>
      <color theme="1"/>
      <name val="맑은 고딕"/>
      <family val="2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theme="1"/>
      <name val="Arial Unicode MS"/>
      <family val="2"/>
    </font>
    <font>
      <b/>
      <sz val="12"/>
      <color theme="1"/>
      <name val="맑은 고딕"/>
      <family val="2"/>
      <scheme val="minor"/>
    </font>
    <font>
      <b/>
      <i/>
      <sz val="16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C6E0B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6" fillId="5" borderId="3">
      <alignment vertical="center"/>
    </xf>
    <xf numFmtId="0" fontId="1" fillId="6" borderId="0">
      <alignment vertical="center"/>
    </xf>
  </cellStyleXfs>
  <cellXfs count="99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5" fillId="0" borderId="0" xfId="0" applyFont="1"/>
    <xf numFmtId="14" fontId="0" fillId="3" borderId="1" xfId="0" applyNumberFormat="1" applyFill="1" applyBorder="1" applyAlignment="1">
      <alignment vertical="center"/>
    </xf>
    <xf numFmtId="0" fontId="7" fillId="5" borderId="3" xfId="1" applyFont="1" applyAlignment="1"/>
    <xf numFmtId="0" fontId="6" fillId="5" borderId="3" xfId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8" fillId="0" borderId="4" xfId="0" applyFont="1" applyBorder="1"/>
    <xf numFmtId="0" fontId="16" fillId="0" borderId="5" xfId="0" applyFont="1" applyBorder="1"/>
    <xf numFmtId="0" fontId="0" fillId="0" borderId="5" xfId="0" applyBorder="1"/>
    <xf numFmtId="0" fontId="0" fillId="0" borderId="6" xfId="0" applyBorder="1"/>
    <xf numFmtId="0" fontId="16" fillId="0" borderId="7" xfId="0" applyFont="1" applyBorder="1"/>
    <xf numFmtId="0" fontId="0" fillId="0" borderId="8" xfId="0" applyBorder="1"/>
    <xf numFmtId="0" fontId="17" fillId="0" borderId="7" xfId="0" applyFont="1" applyBorder="1"/>
    <xf numFmtId="0" fontId="17" fillId="0" borderId="9" xfId="0" applyFont="1" applyBorder="1"/>
    <xf numFmtId="0" fontId="16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1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3" borderId="2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7" xfId="0" applyFont="1" applyBorder="1"/>
    <xf numFmtId="0" fontId="22" fillId="0" borderId="5" xfId="0" applyFont="1" applyBorder="1"/>
    <xf numFmtId="0" fontId="22" fillId="0" borderId="6" xfId="0" applyFont="1" applyBorder="1"/>
    <xf numFmtId="0" fontId="23" fillId="0" borderId="7" xfId="0" applyFont="1" applyBorder="1"/>
    <xf numFmtId="0" fontId="22" fillId="0" borderId="0" xfId="0" applyFont="1"/>
    <xf numFmtId="0" fontId="22" fillId="0" borderId="8" xfId="0" applyFont="1" applyBorder="1"/>
    <xf numFmtId="0" fontId="22" fillId="0" borderId="7" xfId="0" applyFont="1" applyBorder="1"/>
    <xf numFmtId="0" fontId="22" fillId="0" borderId="7" xfId="0" applyFont="1" applyBorder="1" applyAlignment="1">
      <alignment horizontal="left" vertical="center" indent="1"/>
    </xf>
    <xf numFmtId="0" fontId="24" fillId="0" borderId="7" xfId="0" applyFont="1" applyBorder="1" applyAlignment="1">
      <alignment horizontal="left" vertical="center" indent="1"/>
    </xf>
    <xf numFmtId="0" fontId="23" fillId="0" borderId="9" xfId="0" applyFont="1" applyBorder="1"/>
    <xf numFmtId="0" fontId="22" fillId="0" borderId="10" xfId="0" applyFont="1" applyBorder="1"/>
    <xf numFmtId="0" fontId="22" fillId="0" borderId="11" xfId="0" applyFont="1" applyBorder="1"/>
    <xf numFmtId="0" fontId="25" fillId="0" borderId="4" xfId="0" applyFont="1" applyBorder="1" applyAlignment="1">
      <alignment vertical="center"/>
    </xf>
    <xf numFmtId="0" fontId="27" fillId="0" borderId="0" xfId="0" applyFont="1"/>
    <xf numFmtId="0" fontId="27" fillId="0" borderId="0" xfId="0" applyFont="1" applyAlignment="1">
      <alignment horizontal="left" vertical="top"/>
    </xf>
    <xf numFmtId="0" fontId="5" fillId="6" borderId="0" xfId="2" applyFont="1" applyAlignment="1"/>
    <xf numFmtId="0" fontId="14" fillId="0" borderId="4" xfId="0" applyFont="1" applyBorder="1"/>
    <xf numFmtId="0" fontId="5" fillId="0" borderId="7" xfId="0" applyFont="1" applyBorder="1" applyAlignment="1">
      <alignment horizontal="left" vertical="center"/>
    </xf>
    <xf numFmtId="0" fontId="27" fillId="0" borderId="7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27" fillId="0" borderId="7" xfId="0" applyFont="1" applyBorder="1"/>
    <xf numFmtId="0" fontId="27" fillId="0" borderId="7" xfId="0" applyFont="1" applyBorder="1" applyAlignment="1">
      <alignment horizontal="left" vertical="top"/>
    </xf>
    <xf numFmtId="0" fontId="26" fillId="0" borderId="7" xfId="0" applyFont="1" applyBorder="1" applyAlignment="1">
      <alignment horizontal="left" vertical="top"/>
    </xf>
    <xf numFmtId="0" fontId="27" fillId="0" borderId="0" xfId="0" applyFont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27" fillId="0" borderId="0" xfId="0" applyFont="1" applyAlignment="1">
      <alignment vertical="top"/>
    </xf>
    <xf numFmtId="0" fontId="27" fillId="0" borderId="1" xfId="0" applyFont="1" applyBorder="1" applyAlignment="1">
      <alignment horizontal="center" vertical="top"/>
    </xf>
    <xf numFmtId="0" fontId="27" fillId="0" borderId="1" xfId="0" applyFont="1" applyBorder="1" applyAlignment="1">
      <alignment horizontal="left" vertical="top"/>
    </xf>
    <xf numFmtId="0" fontId="31" fillId="0" borderId="0" xfId="0" applyFont="1"/>
    <xf numFmtId="0" fontId="1" fillId="5" borderId="3" xfId="1" applyFont="1" applyAlignment="1"/>
    <xf numFmtId="0" fontId="27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2"/>
    </xf>
    <xf numFmtId="0" fontId="27" fillId="0" borderId="0" xfId="0" applyFont="1" applyAlignment="1">
      <alignment horizontal="left" vertical="center" indent="2"/>
    </xf>
    <xf numFmtId="0" fontId="32" fillId="0" borderId="0" xfId="0" applyFont="1"/>
    <xf numFmtId="0" fontId="11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33" fillId="0" borderId="0" xfId="0" applyFont="1"/>
    <xf numFmtId="0" fontId="0" fillId="7" borderId="0" xfId="0" applyFill="1"/>
    <xf numFmtId="0" fontId="18" fillId="0" borderId="0" xfId="0" applyFont="1"/>
    <xf numFmtId="0" fontId="5" fillId="0" borderId="9" xfId="0" applyFont="1" applyBorder="1" applyAlignment="1">
      <alignment horizontal="left" vertical="top"/>
    </xf>
    <xf numFmtId="0" fontId="2" fillId="2" borderId="2" xfId="0" applyFont="1" applyFill="1" applyBorder="1" applyAlignment="1">
      <alignment vertical="center"/>
    </xf>
    <xf numFmtId="0" fontId="0" fillId="0" borderId="2" xfId="0" applyBorder="1"/>
    <xf numFmtId="0" fontId="2" fillId="2" borderId="2" xfId="0" applyFont="1" applyFill="1" applyBorder="1" applyAlignment="1">
      <alignment horizontal="center" vertical="center"/>
    </xf>
  </cellXfs>
  <cellStyles count="3">
    <cellStyle name="60% - 강조색1" xfId="2" builtinId="32"/>
    <cellStyle name="메모" xfId="1" builtinId="10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0"/>
  <sheetViews>
    <sheetView topLeftCell="A25" workbookViewId="0">
      <selection activeCell="T17" sqref="T17"/>
    </sheetView>
  </sheetViews>
  <sheetFormatPr defaultRowHeight="16.5"/>
  <cols>
    <col min="20" max="20" width="18.125" customWidth="1"/>
  </cols>
  <sheetData>
    <row r="1" spans="1:24" ht="38.25" customHeight="1">
      <c r="A1" s="21" t="s">
        <v>59</v>
      </c>
      <c r="K1" s="26" t="s">
        <v>60</v>
      </c>
      <c r="L1" s="27"/>
      <c r="M1" s="94" t="s">
        <v>61</v>
      </c>
      <c r="S1" s="28"/>
      <c r="T1" s="28"/>
      <c r="U1" s="28"/>
      <c r="V1" s="28"/>
      <c r="W1" s="28"/>
      <c r="X1" s="29"/>
    </row>
    <row r="2" spans="1:24" ht="38.25" customHeight="1">
      <c r="A2" s="21"/>
      <c r="K2" s="30"/>
      <c r="L2" s="25"/>
      <c r="M2" s="94" t="s">
        <v>292</v>
      </c>
      <c r="X2" s="31"/>
    </row>
    <row r="3" spans="1:24" ht="33.75" customHeight="1">
      <c r="D3" s="25"/>
      <c r="E3" s="25"/>
      <c r="F3" s="25"/>
      <c r="G3" s="25"/>
      <c r="H3" s="25"/>
      <c r="I3" s="24"/>
      <c r="K3" s="32" t="s">
        <v>252</v>
      </c>
      <c r="X3" s="31"/>
    </row>
    <row r="4" spans="1:24" ht="32.25" customHeight="1" thickBot="1">
      <c r="D4" s="25"/>
      <c r="E4" s="25"/>
      <c r="F4" s="25"/>
      <c r="G4" s="25"/>
      <c r="H4" s="25"/>
      <c r="I4" s="24"/>
      <c r="K4" s="33" t="s">
        <v>62</v>
      </c>
      <c r="L4" s="34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6"/>
    </row>
    <row r="6" spans="1:24" ht="15.75" customHeight="1">
      <c r="A6" s="11" t="s">
        <v>63</v>
      </c>
    </row>
    <row r="8" spans="1:24" ht="26.25" customHeight="1">
      <c r="A8" s="22" t="s">
        <v>64</v>
      </c>
    </row>
    <row r="10" spans="1:24">
      <c r="A10" t="s">
        <v>65</v>
      </c>
    </row>
    <row r="12" spans="1:24">
      <c r="A12" s="23" t="s">
        <v>66</v>
      </c>
    </row>
    <row r="13" spans="1:24">
      <c r="A13" s="16"/>
    </row>
    <row r="14" spans="1:24">
      <c r="A14" s="17" t="s">
        <v>67</v>
      </c>
    </row>
    <row r="15" spans="1:24">
      <c r="A15" s="16"/>
    </row>
    <row r="16" spans="1:24">
      <c r="A16" s="17" t="s">
        <v>68</v>
      </c>
    </row>
    <row r="17" spans="1:1">
      <c r="A17" s="16"/>
    </row>
    <row r="18" spans="1:1">
      <c r="A18" s="17" t="s">
        <v>69</v>
      </c>
    </row>
    <row r="19" spans="1:1">
      <c r="A19" s="16"/>
    </row>
    <row r="20" spans="1:1">
      <c r="A20" s="17" t="s">
        <v>70</v>
      </c>
    </row>
    <row r="21" spans="1:1">
      <c r="A21" s="16"/>
    </row>
    <row r="22" spans="1:1">
      <c r="A22" s="17" t="s">
        <v>71</v>
      </c>
    </row>
    <row r="24" spans="1:1">
      <c r="A24" s="23" t="s">
        <v>72</v>
      </c>
    </row>
    <row r="25" spans="1:1">
      <c r="A25" s="16"/>
    </row>
    <row r="26" spans="1:1">
      <c r="A26" s="17" t="s">
        <v>73</v>
      </c>
    </row>
    <row r="28" spans="1:1">
      <c r="A28" s="23" t="s">
        <v>74</v>
      </c>
    </row>
    <row r="29" spans="1:1">
      <c r="A29" s="16"/>
    </row>
    <row r="30" spans="1:1">
      <c r="A30" s="16" t="s">
        <v>75</v>
      </c>
    </row>
    <row r="31" spans="1:1">
      <c r="A31" s="16"/>
    </row>
    <row r="32" spans="1:1">
      <c r="A32" s="16" t="s">
        <v>76</v>
      </c>
    </row>
    <row r="33" spans="1:1">
      <c r="A33" s="16"/>
    </row>
    <row r="34" spans="1:1">
      <c r="A34" s="16" t="s">
        <v>77</v>
      </c>
    </row>
    <row r="36" spans="1:1">
      <c r="A36" s="23" t="s">
        <v>78</v>
      </c>
    </row>
    <row r="37" spans="1:1">
      <c r="A37" s="16"/>
    </row>
    <row r="38" spans="1:1">
      <c r="A38" s="16" t="s">
        <v>79</v>
      </c>
    </row>
    <row r="42" spans="1:1" ht="26.25" customHeight="1">
      <c r="A42" s="15" t="s">
        <v>80</v>
      </c>
    </row>
    <row r="44" spans="1:1">
      <c r="A44" t="s">
        <v>81</v>
      </c>
    </row>
    <row r="46" spans="1:1" ht="21.75" customHeight="1">
      <c r="A46" s="18" t="s">
        <v>82</v>
      </c>
    </row>
    <row r="47" spans="1:1">
      <c r="A47" s="16"/>
    </row>
    <row r="48" spans="1:1">
      <c r="A48" s="17" t="s">
        <v>83</v>
      </c>
    </row>
    <row r="49" spans="1:1">
      <c r="A49" s="16"/>
    </row>
    <row r="50" spans="1:1">
      <c r="A50" s="17" t="s">
        <v>84</v>
      </c>
    </row>
    <row r="51" spans="1:1">
      <c r="A51" s="16"/>
    </row>
    <row r="52" spans="1:1">
      <c r="A52" s="17" t="s">
        <v>85</v>
      </c>
    </row>
    <row r="53" spans="1:1">
      <c r="A53" s="16"/>
    </row>
    <row r="54" spans="1:1">
      <c r="A54" s="17" t="s">
        <v>86</v>
      </c>
    </row>
    <row r="55" spans="1:1">
      <c r="A55" s="16"/>
    </row>
    <row r="56" spans="1:1">
      <c r="A56" s="17" t="s">
        <v>87</v>
      </c>
    </row>
    <row r="57" spans="1:1">
      <c r="A57" s="16"/>
    </row>
    <row r="58" spans="1:1">
      <c r="A58" s="17" t="s">
        <v>88</v>
      </c>
    </row>
    <row r="60" spans="1:1" ht="21.75" customHeight="1">
      <c r="A60" s="18" t="s">
        <v>89</v>
      </c>
    </row>
    <row r="61" spans="1:1">
      <c r="A61" s="16"/>
    </row>
    <row r="62" spans="1:1">
      <c r="A62" s="17" t="s">
        <v>90</v>
      </c>
    </row>
    <row r="63" spans="1:1">
      <c r="A63" s="16"/>
    </row>
    <row r="64" spans="1:1">
      <c r="A64" s="17" t="s">
        <v>91</v>
      </c>
    </row>
    <row r="65" spans="1:1">
      <c r="A65" s="16"/>
    </row>
    <row r="66" spans="1:1">
      <c r="A66" s="20" t="s">
        <v>92</v>
      </c>
    </row>
    <row r="67" spans="1:1">
      <c r="A67" s="19"/>
    </row>
    <row r="68" spans="1:1">
      <c r="A68" s="20" t="s">
        <v>93</v>
      </c>
    </row>
    <row r="69" spans="1:1">
      <c r="A69" s="19"/>
    </row>
    <row r="70" spans="1:1">
      <c r="A70" s="20" t="s">
        <v>94</v>
      </c>
    </row>
    <row r="71" spans="1:1">
      <c r="A71" s="19"/>
    </row>
    <row r="72" spans="1:1">
      <c r="A72" s="20" t="s">
        <v>95</v>
      </c>
    </row>
    <row r="73" spans="1:1">
      <c r="A73" s="19"/>
    </row>
    <row r="74" spans="1:1">
      <c r="A74" s="20" t="s">
        <v>96</v>
      </c>
    </row>
    <row r="75" spans="1:1">
      <c r="A75" s="19"/>
    </row>
    <row r="76" spans="1:1">
      <c r="A76" s="20" t="s">
        <v>97</v>
      </c>
    </row>
    <row r="77" spans="1:1">
      <c r="A77" s="16"/>
    </row>
    <row r="78" spans="1:1">
      <c r="A78" s="17" t="s">
        <v>98</v>
      </c>
    </row>
    <row r="79" spans="1:1">
      <c r="A79" s="16"/>
    </row>
    <row r="80" spans="1:1">
      <c r="A80" s="17" t="s">
        <v>99</v>
      </c>
    </row>
    <row r="81" spans="1:1">
      <c r="A81" s="16"/>
    </row>
    <row r="82" spans="1:1">
      <c r="A82" s="17" t="s">
        <v>100</v>
      </c>
    </row>
    <row r="83" spans="1:1">
      <c r="A83" s="19" t="s">
        <v>101</v>
      </c>
    </row>
    <row r="84" spans="1:1">
      <c r="A84" s="19"/>
    </row>
    <row r="86" spans="1:1" ht="21.75" customHeight="1">
      <c r="A86" s="18" t="s">
        <v>102</v>
      </c>
    </row>
    <row r="87" spans="1:1">
      <c r="A87" s="16"/>
    </row>
    <row r="88" spans="1:1">
      <c r="A88" s="17" t="s">
        <v>103</v>
      </c>
    </row>
    <row r="89" spans="1:1">
      <c r="A89" s="16"/>
    </row>
    <row r="90" spans="1:1">
      <c r="A90" s="17" t="s">
        <v>104</v>
      </c>
    </row>
    <row r="91" spans="1:1">
      <c r="A91" s="16"/>
    </row>
    <row r="92" spans="1:1">
      <c r="A92" s="19" t="s">
        <v>105</v>
      </c>
    </row>
    <row r="93" spans="1:1">
      <c r="A93" s="19"/>
    </row>
    <row r="94" spans="1:1">
      <c r="A94" s="20" t="s">
        <v>106</v>
      </c>
    </row>
    <row r="95" spans="1:1">
      <c r="A95" s="19"/>
    </row>
    <row r="96" spans="1:1">
      <c r="A96" s="20" t="s">
        <v>107</v>
      </c>
    </row>
    <row r="97" spans="1:10">
      <c r="A97" s="19"/>
    </row>
    <row r="98" spans="1:10">
      <c r="A98" s="20" t="s">
        <v>108</v>
      </c>
    </row>
    <row r="99" spans="1:10">
      <c r="A99" s="19"/>
    </row>
    <row r="100" spans="1:10">
      <c r="A100" s="19" t="s">
        <v>109</v>
      </c>
    </row>
    <row r="102" spans="1:10" ht="21.75" customHeight="1">
      <c r="A102" s="18" t="s">
        <v>110</v>
      </c>
    </row>
    <row r="103" spans="1:10">
      <c r="A103" s="16"/>
    </row>
    <row r="104" spans="1:10">
      <c r="A104" s="41" t="s">
        <v>111</v>
      </c>
      <c r="B104" s="42"/>
      <c r="C104" s="42"/>
      <c r="D104" s="42"/>
      <c r="E104" s="42"/>
      <c r="F104" s="42"/>
      <c r="G104" s="42"/>
      <c r="H104" s="42"/>
      <c r="I104" s="42"/>
      <c r="J104" s="42"/>
    </row>
    <row r="105" spans="1:10">
      <c r="A105" s="41"/>
      <c r="B105" s="42"/>
      <c r="C105" s="42"/>
      <c r="D105" s="42"/>
      <c r="E105" s="42"/>
      <c r="F105" s="42"/>
      <c r="G105" s="42"/>
      <c r="H105" s="42"/>
      <c r="I105" s="42"/>
      <c r="J105" s="42"/>
    </row>
    <row r="106" spans="1:10">
      <c r="A106" s="79" t="s">
        <v>112</v>
      </c>
      <c r="B106" s="42"/>
      <c r="C106" s="42"/>
      <c r="D106" s="42"/>
      <c r="E106" s="42"/>
      <c r="F106" s="42"/>
      <c r="G106" s="42"/>
      <c r="H106" s="42"/>
      <c r="I106" s="42"/>
      <c r="J106" s="42"/>
    </row>
    <row r="107" spans="1:10">
      <c r="A107" s="41"/>
      <c r="B107" s="42"/>
      <c r="C107" s="42"/>
      <c r="D107" s="42"/>
      <c r="E107" s="42"/>
      <c r="F107" s="42"/>
      <c r="G107" s="42"/>
      <c r="H107" s="42"/>
      <c r="I107" s="42"/>
      <c r="J107" s="42"/>
    </row>
    <row r="108" spans="1:10">
      <c r="A108" s="41" t="s">
        <v>113</v>
      </c>
      <c r="B108" s="42"/>
      <c r="C108" s="42"/>
      <c r="D108" s="42"/>
      <c r="E108" s="42"/>
      <c r="F108" s="42"/>
      <c r="G108" s="42"/>
      <c r="H108" s="42"/>
      <c r="I108" s="42"/>
      <c r="J108" s="42"/>
    </row>
    <row r="110" spans="1:10" ht="21.75" customHeight="1">
      <c r="A110" s="18" t="s">
        <v>114</v>
      </c>
    </row>
    <row r="111" spans="1:10">
      <c r="A111" s="16"/>
    </row>
    <row r="112" spans="1:10">
      <c r="A112" s="17" t="s">
        <v>115</v>
      </c>
    </row>
    <row r="113" spans="1:1">
      <c r="A113" s="16"/>
    </row>
    <row r="114" spans="1:1">
      <c r="A114" s="17" t="s">
        <v>116</v>
      </c>
    </row>
    <row r="115" spans="1:1">
      <c r="A115" s="16"/>
    </row>
    <row r="116" spans="1:1">
      <c r="A116" s="17" t="s">
        <v>117</v>
      </c>
    </row>
    <row r="118" spans="1:1">
      <c r="A118" s="11" t="s">
        <v>118</v>
      </c>
    </row>
    <row r="119" spans="1:1">
      <c r="A119" s="11"/>
    </row>
    <row r="120" spans="1:1">
      <c r="A120" s="11" t="s">
        <v>119</v>
      </c>
    </row>
    <row r="121" spans="1:1">
      <c r="A121" s="11"/>
    </row>
    <row r="122" spans="1:1" ht="26.25" customHeight="1">
      <c r="A122" s="38" t="s">
        <v>120</v>
      </c>
    </row>
    <row r="123" spans="1:1">
      <c r="A123" s="16"/>
    </row>
    <row r="124" spans="1:1">
      <c r="A124" s="43" t="s">
        <v>121</v>
      </c>
    </row>
    <row r="125" spans="1:1">
      <c r="A125" s="44"/>
    </row>
    <row r="126" spans="1:1">
      <c r="A126" s="43" t="s">
        <v>122</v>
      </c>
    </row>
    <row r="127" spans="1:1">
      <c r="A127" s="45" t="s">
        <v>291</v>
      </c>
    </row>
    <row r="128" spans="1:1">
      <c r="A128" s="44"/>
    </row>
    <row r="129" spans="1:1">
      <c r="A129" s="43" t="s">
        <v>123</v>
      </c>
    </row>
    <row r="130" spans="1:1">
      <c r="A130" s="39" t="s">
        <v>124</v>
      </c>
    </row>
    <row r="131" spans="1:1">
      <c r="A131" s="44"/>
    </row>
    <row r="132" spans="1:1">
      <c r="A132" s="43" t="s">
        <v>125</v>
      </c>
    </row>
    <row r="134" spans="1:1" ht="26.25" customHeight="1">
      <c r="A134" s="83" t="s">
        <v>126</v>
      </c>
    </row>
    <row r="135" spans="1:1" ht="26.25" customHeight="1">
      <c r="A135" s="88" t="s">
        <v>127</v>
      </c>
    </row>
    <row r="138" spans="1:1" ht="20.25" customHeight="1">
      <c r="A138" s="92" t="s">
        <v>128</v>
      </c>
    </row>
    <row r="139" spans="1:1">
      <c r="A139" t="s">
        <v>129</v>
      </c>
    </row>
    <row r="141" spans="1:1" ht="21.75" customHeight="1">
      <c r="A141" s="18" t="s">
        <v>130</v>
      </c>
    </row>
    <row r="143" spans="1:1">
      <c r="A143" t="s">
        <v>131</v>
      </c>
    </row>
    <row r="144" spans="1:1">
      <c r="A144" s="16"/>
    </row>
    <row r="145" spans="1:1">
      <c r="A145" s="89" t="s">
        <v>132</v>
      </c>
    </row>
    <row r="146" spans="1:1">
      <c r="A146" s="90" t="s">
        <v>133</v>
      </c>
    </row>
    <row r="147" spans="1:1">
      <c r="A147" s="90" t="s">
        <v>134</v>
      </c>
    </row>
    <row r="148" spans="1:1">
      <c r="A148" s="16"/>
    </row>
    <row r="149" spans="1:1">
      <c r="A149" s="89" t="s">
        <v>135</v>
      </c>
    </row>
    <row r="150" spans="1:1">
      <c r="A150" s="90" t="s">
        <v>136</v>
      </c>
    </row>
    <row r="151" spans="1:1">
      <c r="A151" s="90" t="s">
        <v>137</v>
      </c>
    </row>
    <row r="152" spans="1:1">
      <c r="A152" s="16"/>
    </row>
    <row r="153" spans="1:1">
      <c r="A153" s="89" t="s">
        <v>138</v>
      </c>
    </row>
    <row r="154" spans="1:1">
      <c r="A154" s="90" t="s">
        <v>139</v>
      </c>
    </row>
    <row r="155" spans="1:1">
      <c r="A155" s="90" t="s">
        <v>140</v>
      </c>
    </row>
    <row r="156" spans="1:1">
      <c r="A156" s="16"/>
    </row>
    <row r="157" spans="1:1">
      <c r="A157" s="89" t="s">
        <v>141</v>
      </c>
    </row>
    <row r="158" spans="1:1">
      <c r="A158" s="90" t="s">
        <v>142</v>
      </c>
    </row>
    <row r="159" spans="1:1">
      <c r="A159" s="90" t="s">
        <v>143</v>
      </c>
    </row>
    <row r="161" spans="1:1" ht="21.75" customHeight="1">
      <c r="A161" s="18" t="s">
        <v>144</v>
      </c>
    </row>
    <row r="162" spans="1:1">
      <c r="A162" s="16"/>
    </row>
    <row r="163" spans="1:1">
      <c r="A163" s="17" t="s">
        <v>145</v>
      </c>
    </row>
    <row r="164" spans="1:1">
      <c r="A164" s="17" t="s">
        <v>146</v>
      </c>
    </row>
    <row r="166" spans="1:1">
      <c r="A166" s="19" t="s">
        <v>147</v>
      </c>
    </row>
    <row r="167" spans="1:1">
      <c r="A167" s="90" t="s">
        <v>148</v>
      </c>
    </row>
    <row r="168" spans="1:1">
      <c r="A168" s="91" t="s">
        <v>149</v>
      </c>
    </row>
    <row r="169" spans="1:1">
      <c r="A169" s="91" t="s">
        <v>150</v>
      </c>
    </row>
    <row r="170" spans="1:1">
      <c r="A170" s="91" t="s">
        <v>151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7"/>
  <sheetViews>
    <sheetView tabSelected="1" topLeftCell="A7" workbookViewId="0">
      <selection activeCell="R22" sqref="R22"/>
    </sheetView>
  </sheetViews>
  <sheetFormatPr defaultRowHeight="16.5"/>
  <cols>
    <col min="1" max="1" width="33.375" customWidth="1"/>
    <col min="2" max="2" width="14" customWidth="1"/>
    <col min="3" max="3" width="22" customWidth="1"/>
    <col min="4" max="4" width="18" customWidth="1"/>
  </cols>
  <sheetData>
    <row r="1" spans="1:4">
      <c r="A1" s="96" t="s">
        <v>0</v>
      </c>
      <c r="B1" s="97"/>
      <c r="C1" s="97"/>
      <c r="D1" s="97"/>
    </row>
    <row r="2" spans="1:4">
      <c r="A2" s="3" t="s">
        <v>1</v>
      </c>
      <c r="B2" s="47">
        <v>2026</v>
      </c>
      <c r="C2" s="2" t="s">
        <v>2</v>
      </c>
      <c r="D2" s="2" t="s">
        <v>3</v>
      </c>
    </row>
    <row r="3" spans="1:4">
      <c r="A3" s="3" t="s">
        <v>4</v>
      </c>
      <c r="B3" s="47">
        <v>3</v>
      </c>
      <c r="C3" s="2" t="s">
        <v>5</v>
      </c>
      <c r="D3" s="2" t="s">
        <v>6</v>
      </c>
    </row>
    <row r="4" spans="1:4">
      <c r="A4" s="11" t="s">
        <v>7</v>
      </c>
      <c r="B4" s="47">
        <v>11</v>
      </c>
      <c r="C4" t="s">
        <v>8</v>
      </c>
      <c r="D4" s="2"/>
    </row>
    <row r="5" spans="1:4">
      <c r="B5" s="48"/>
      <c r="D5" s="10"/>
    </row>
    <row r="6" spans="1:4">
      <c r="A6" s="3" t="s">
        <v>9</v>
      </c>
      <c r="B6" s="47">
        <v>3</v>
      </c>
      <c r="C6" s="2" t="s">
        <v>10</v>
      </c>
      <c r="D6" s="2"/>
    </row>
    <row r="7" spans="1:4">
      <c r="A7" s="3" t="s">
        <v>11</v>
      </c>
      <c r="B7" s="47">
        <v>3</v>
      </c>
      <c r="C7" s="2" t="s">
        <v>12</v>
      </c>
      <c r="D7" s="2"/>
    </row>
    <row r="8" spans="1:4">
      <c r="A8" s="3" t="s">
        <v>13</v>
      </c>
      <c r="B8" s="47">
        <v>2</v>
      </c>
      <c r="C8" s="2" t="s">
        <v>14</v>
      </c>
      <c r="D8" s="2"/>
    </row>
    <row r="9" spans="1:4">
      <c r="A9" s="9" t="s">
        <v>15</v>
      </c>
      <c r="B9" s="49">
        <v>0</v>
      </c>
      <c r="C9" s="10" t="s">
        <v>16</v>
      </c>
      <c r="D9" s="10"/>
    </row>
    <row r="10" spans="1:4">
      <c r="A10" s="2"/>
      <c r="B10" s="50"/>
      <c r="C10" s="2"/>
      <c r="D10" s="2"/>
    </row>
    <row r="11" spans="1:4">
      <c r="A11" s="3" t="s">
        <v>17</v>
      </c>
      <c r="B11" s="47">
        <v>2</v>
      </c>
      <c r="C11" s="2" t="s">
        <v>18</v>
      </c>
      <c r="D11" s="2"/>
    </row>
    <row r="12" spans="1:4">
      <c r="A12" s="3" t="s">
        <v>19</v>
      </c>
      <c r="B12" s="47">
        <v>2</v>
      </c>
      <c r="C12" s="2" t="s">
        <v>20</v>
      </c>
      <c r="D12" s="2"/>
    </row>
    <row r="13" spans="1:4">
      <c r="A13" s="3" t="s">
        <v>21</v>
      </c>
      <c r="B13" s="47">
        <v>2</v>
      </c>
      <c r="C13" s="2" t="s">
        <v>22</v>
      </c>
      <c r="D13" s="2"/>
    </row>
    <row r="14" spans="1:4">
      <c r="A14" s="9" t="s">
        <v>23</v>
      </c>
      <c r="B14" s="49">
        <v>0</v>
      </c>
      <c r="C14" s="10" t="s">
        <v>24</v>
      </c>
      <c r="D14" s="10"/>
    </row>
    <row r="15" spans="1:4">
      <c r="A15" s="2"/>
      <c r="B15" s="50"/>
      <c r="C15" s="2"/>
      <c r="D15" s="2"/>
    </row>
    <row r="16" spans="1:4">
      <c r="A16" s="3" t="s">
        <v>25</v>
      </c>
      <c r="B16" s="47">
        <v>5</v>
      </c>
      <c r="C16" s="2" t="s">
        <v>26</v>
      </c>
      <c r="D16" s="2"/>
    </row>
    <row r="17" spans="1:17">
      <c r="A17" s="9" t="s">
        <v>27</v>
      </c>
      <c r="B17" s="49">
        <v>4</v>
      </c>
      <c r="C17" s="10" t="s">
        <v>28</v>
      </c>
      <c r="D17" s="10"/>
    </row>
    <row r="18" spans="1:17">
      <c r="A18" s="9" t="s">
        <v>29</v>
      </c>
      <c r="B18" s="49">
        <v>4</v>
      </c>
      <c r="C18" s="10" t="s">
        <v>30</v>
      </c>
      <c r="D18" s="10"/>
    </row>
    <row r="19" spans="1:17">
      <c r="A19" s="3" t="s">
        <v>31</v>
      </c>
      <c r="B19" s="47">
        <v>3</v>
      </c>
      <c r="C19" s="2" t="s">
        <v>32</v>
      </c>
      <c r="D19" s="2"/>
    </row>
    <row r="20" spans="1:17">
      <c r="A20" s="9" t="s">
        <v>33</v>
      </c>
      <c r="B20" s="49">
        <v>2</v>
      </c>
      <c r="C20" t="s">
        <v>34</v>
      </c>
      <c r="D20" s="10"/>
    </row>
    <row r="21" spans="1:17">
      <c r="A21" s="3" t="s">
        <v>35</v>
      </c>
      <c r="B21" s="47">
        <v>2</v>
      </c>
      <c r="C21" s="2" t="s">
        <v>36</v>
      </c>
      <c r="D21" s="2"/>
    </row>
    <row r="22" spans="1:17">
      <c r="A22" s="9"/>
      <c r="B22" s="49"/>
      <c r="C22" s="10"/>
      <c r="D22" s="10"/>
    </row>
    <row r="23" spans="1:17">
      <c r="A23" s="3" t="s">
        <v>37</v>
      </c>
      <c r="B23" s="47">
        <v>10</v>
      </c>
      <c r="C23" s="46" t="s">
        <v>38</v>
      </c>
      <c r="D23" s="2"/>
    </row>
    <row r="24" spans="1:17">
      <c r="A24" s="3" t="s">
        <v>39</v>
      </c>
      <c r="B24" s="47">
        <v>100</v>
      </c>
      <c r="C24" s="2" t="s">
        <v>40</v>
      </c>
      <c r="D24" s="2"/>
    </row>
    <row r="25" spans="1:17">
      <c r="A25" s="3" t="s">
        <v>41</v>
      </c>
      <c r="B25" s="47">
        <v>10</v>
      </c>
      <c r="C25" s="2" t="s">
        <v>42</v>
      </c>
      <c r="D25" s="2"/>
    </row>
    <row r="26" spans="1:17">
      <c r="A26" s="3" t="s">
        <v>43</v>
      </c>
      <c r="B26" s="47">
        <v>10</v>
      </c>
      <c r="C26" s="2" t="s">
        <v>44</v>
      </c>
      <c r="D26" s="2"/>
    </row>
    <row r="27" spans="1:17">
      <c r="A27" s="9" t="s">
        <v>45</v>
      </c>
      <c r="B27" s="49">
        <v>4</v>
      </c>
      <c r="C27" s="10" t="s">
        <v>46</v>
      </c>
      <c r="D27" s="10"/>
    </row>
    <row r="28" spans="1:17">
      <c r="A28" s="9" t="s">
        <v>47</v>
      </c>
      <c r="B28" s="49">
        <v>10</v>
      </c>
      <c r="C28" s="10" t="s">
        <v>48</v>
      </c>
      <c r="D28" s="10"/>
    </row>
    <row r="29" spans="1:17">
      <c r="A29" s="3" t="s">
        <v>49</v>
      </c>
      <c r="B29" s="47">
        <v>2</v>
      </c>
      <c r="C29" s="2" t="s">
        <v>50</v>
      </c>
      <c r="D29" s="2"/>
    </row>
    <row r="30" spans="1:17">
      <c r="A30" s="2"/>
      <c r="B30" s="2"/>
      <c r="C30" s="2"/>
      <c r="D30" s="2"/>
    </row>
    <row r="31" spans="1:17" ht="17.25" customHeight="1" thickBot="1">
      <c r="A31" s="37"/>
      <c r="B31" s="37"/>
      <c r="C31" s="37"/>
      <c r="D31" s="37"/>
    </row>
    <row r="32" spans="1:17" ht="17.25" customHeight="1">
      <c r="A32" s="63" t="s">
        <v>51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3"/>
    </row>
    <row r="33" spans="1:17" ht="17.25" customHeight="1">
      <c r="A33" s="54" t="s">
        <v>52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6"/>
    </row>
    <row r="34" spans="1:17" ht="17.25" customHeight="1">
      <c r="A34" s="57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6"/>
    </row>
    <row r="35" spans="1:17" ht="17.25" customHeight="1">
      <c r="A35" s="54" t="s">
        <v>53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6"/>
    </row>
    <row r="36" spans="1:17" ht="17.25" customHeight="1">
      <c r="A36" s="57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6"/>
    </row>
    <row r="37" spans="1:17" ht="17.25" customHeight="1">
      <c r="A37" s="54" t="s">
        <v>295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6"/>
    </row>
    <row r="38" spans="1:17" ht="17.25" customHeight="1">
      <c r="A38" s="58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6"/>
    </row>
    <row r="39" spans="1:17" ht="17.25" customHeight="1">
      <c r="A39" s="59" t="s">
        <v>54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6"/>
    </row>
    <row r="40" spans="1:17" ht="17.25" customHeight="1">
      <c r="A40" s="58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6"/>
    </row>
    <row r="41" spans="1:17" ht="17.25" customHeight="1">
      <c r="A41" s="59" t="s">
        <v>55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6"/>
    </row>
    <row r="42" spans="1:17" ht="17.25" customHeight="1">
      <c r="A42" s="58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6"/>
    </row>
    <row r="43" spans="1:17" ht="17.25" customHeight="1">
      <c r="A43" s="59" t="s">
        <v>56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6"/>
    </row>
    <row r="44" spans="1:17" ht="17.25" customHeight="1">
      <c r="A44" s="58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6"/>
    </row>
    <row r="45" spans="1:17" ht="17.25" customHeight="1">
      <c r="A45" s="59" t="s">
        <v>57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6"/>
    </row>
    <row r="46" spans="1:17" ht="17.25" customHeight="1">
      <c r="A46" s="57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6"/>
    </row>
    <row r="47" spans="1:17" ht="18" customHeight="1" thickBot="1">
      <c r="A47" s="60" t="s">
        <v>58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2"/>
    </row>
  </sheetData>
  <mergeCells count="1">
    <mergeCell ref="A1:D1"/>
  </mergeCells>
  <phoneticPr fontId="4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1"/>
  <sheetViews>
    <sheetView topLeftCell="D1" workbookViewId="0">
      <selection activeCell="O22" sqref="O22"/>
    </sheetView>
  </sheetViews>
  <sheetFormatPr defaultRowHeight="16.5"/>
  <cols>
    <col min="1" max="1" width="20" customWidth="1"/>
    <col min="2" max="2" width="11.625" customWidth="1"/>
    <col min="3" max="3" width="20.125" customWidth="1"/>
    <col min="4" max="4" width="18.875" customWidth="1"/>
    <col min="6" max="6" width="14.5" customWidth="1"/>
  </cols>
  <sheetData>
    <row r="1" spans="1:27" ht="17.25" customHeight="1" thickBot="1">
      <c r="A1" s="1" t="s">
        <v>152</v>
      </c>
      <c r="B1" s="66" t="s">
        <v>153</v>
      </c>
      <c r="C1" s="66" t="s">
        <v>154</v>
      </c>
      <c r="D1" s="66" t="s">
        <v>155</v>
      </c>
      <c r="E1" s="66" t="s">
        <v>156</v>
      </c>
      <c r="F1" s="66" t="s">
        <v>293</v>
      </c>
    </row>
    <row r="2" spans="1:27">
      <c r="A2" s="84" t="s">
        <v>157</v>
      </c>
      <c r="H2" s="67" t="s">
        <v>51</v>
      </c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9"/>
    </row>
    <row r="3" spans="1:27">
      <c r="A3" s="13" t="s">
        <v>158</v>
      </c>
      <c r="H3" s="51" t="s">
        <v>159</v>
      </c>
      <c r="AA3" s="31"/>
    </row>
    <row r="4" spans="1:27">
      <c r="A4" s="84" t="s">
        <v>160</v>
      </c>
      <c r="H4" s="51" t="s">
        <v>161</v>
      </c>
      <c r="AA4" s="31"/>
    </row>
    <row r="5" spans="1:27">
      <c r="A5" s="13" t="s">
        <v>162</v>
      </c>
      <c r="H5" s="51" t="s">
        <v>163</v>
      </c>
      <c r="AA5" s="31"/>
    </row>
    <row r="6" spans="1:27">
      <c r="A6" s="84" t="s">
        <v>164</v>
      </c>
      <c r="H6" s="71"/>
      <c r="AA6" s="31"/>
    </row>
    <row r="7" spans="1:27">
      <c r="A7" s="13" t="s">
        <v>165</v>
      </c>
      <c r="H7" s="71" t="s">
        <v>166</v>
      </c>
      <c r="AA7" s="31"/>
    </row>
    <row r="8" spans="1:27">
      <c r="A8" s="84" t="s">
        <v>167</v>
      </c>
      <c r="H8" s="71" t="s">
        <v>168</v>
      </c>
      <c r="AA8" s="31"/>
    </row>
    <row r="9" spans="1:27">
      <c r="A9" s="13" t="s">
        <v>169</v>
      </c>
      <c r="H9" s="71" t="s">
        <v>170</v>
      </c>
      <c r="AA9" s="31"/>
    </row>
    <row r="10" spans="1:27">
      <c r="A10" s="84" t="s">
        <v>171</v>
      </c>
      <c r="H10" s="71"/>
      <c r="AA10" s="31"/>
    </row>
    <row r="11" spans="1:27">
      <c r="A11" s="13" t="s">
        <v>172</v>
      </c>
      <c r="H11" s="71" t="s">
        <v>173</v>
      </c>
      <c r="AA11" s="31"/>
    </row>
    <row r="12" spans="1:27">
      <c r="A12" s="84" t="s">
        <v>174</v>
      </c>
      <c r="H12" s="71"/>
      <c r="AA12" s="31"/>
    </row>
    <row r="13" spans="1:27">
      <c r="A13" s="13" t="s">
        <v>175</v>
      </c>
      <c r="H13" s="72" t="s">
        <v>156</v>
      </c>
      <c r="AA13" s="31"/>
    </row>
    <row r="14" spans="1:27">
      <c r="A14" s="84" t="s">
        <v>253</v>
      </c>
      <c r="H14" s="72" t="s">
        <v>176</v>
      </c>
      <c r="AA14" s="31"/>
    </row>
    <row r="15" spans="1:27">
      <c r="A15" s="13" t="s">
        <v>254</v>
      </c>
      <c r="H15" s="73" t="s">
        <v>177</v>
      </c>
      <c r="AA15" s="31"/>
    </row>
    <row r="16" spans="1:27" ht="17.25" customHeight="1">
      <c r="A16" s="84" t="s">
        <v>255</v>
      </c>
      <c r="H16" s="73" t="s">
        <v>178</v>
      </c>
      <c r="AA16" s="31"/>
    </row>
    <row r="17" spans="1:27">
      <c r="A17" s="13" t="s">
        <v>256</v>
      </c>
      <c r="H17" s="73"/>
      <c r="AA17" s="31"/>
    </row>
    <row r="18" spans="1:27" ht="17.25" thickBot="1">
      <c r="A18" s="84" t="s">
        <v>257</v>
      </c>
      <c r="H18" s="95" t="s">
        <v>294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6"/>
    </row>
    <row r="19" spans="1:27">
      <c r="A19" s="13" t="s">
        <v>258</v>
      </c>
    </row>
    <row r="20" spans="1:27">
      <c r="A20" s="84" t="s">
        <v>259</v>
      </c>
    </row>
    <row r="21" spans="1:27">
      <c r="A21" s="13" t="s">
        <v>260</v>
      </c>
    </row>
    <row r="22" spans="1:27">
      <c r="A22" s="84" t="s">
        <v>261</v>
      </c>
      <c r="H22" s="17" t="s">
        <v>91</v>
      </c>
      <c r="I22" s="64"/>
      <c r="J22" s="64"/>
      <c r="K22" s="64"/>
      <c r="L22" s="64"/>
      <c r="M22" s="64"/>
      <c r="N22" s="64"/>
    </row>
    <row r="23" spans="1:27">
      <c r="A23" s="13" t="s">
        <v>262</v>
      </c>
      <c r="H23" s="85"/>
      <c r="I23" s="64"/>
      <c r="J23" s="64"/>
      <c r="K23" s="64"/>
      <c r="L23" s="64"/>
      <c r="M23" s="64"/>
      <c r="N23" s="64"/>
    </row>
    <row r="24" spans="1:27">
      <c r="A24" s="84" t="s">
        <v>263</v>
      </c>
      <c r="H24" s="86" t="s">
        <v>92</v>
      </c>
      <c r="I24" s="64"/>
      <c r="J24" s="64"/>
      <c r="K24" s="64"/>
      <c r="L24" s="64"/>
      <c r="M24" s="64"/>
      <c r="N24" s="64"/>
    </row>
    <row r="25" spans="1:27">
      <c r="A25" s="13" t="s">
        <v>264</v>
      </c>
      <c r="H25" s="87"/>
      <c r="I25" s="64"/>
      <c r="J25" s="64"/>
      <c r="K25" s="64"/>
      <c r="L25" s="64"/>
      <c r="M25" s="64"/>
      <c r="N25" s="64"/>
    </row>
    <row r="26" spans="1:27">
      <c r="A26" s="84" t="s">
        <v>265</v>
      </c>
      <c r="H26" s="86" t="s">
        <v>93</v>
      </c>
      <c r="I26" s="64"/>
      <c r="J26" s="64"/>
      <c r="K26" s="64"/>
      <c r="L26" s="64"/>
      <c r="M26" s="64"/>
      <c r="N26" s="64"/>
    </row>
    <row r="27" spans="1:27">
      <c r="A27" s="13" t="s">
        <v>266</v>
      </c>
      <c r="H27" s="87"/>
      <c r="I27" s="64"/>
      <c r="J27" s="64"/>
      <c r="K27" s="64"/>
      <c r="L27" s="64"/>
      <c r="M27" s="64"/>
      <c r="N27" s="64"/>
    </row>
    <row r="28" spans="1:27">
      <c r="A28" s="84" t="s">
        <v>267</v>
      </c>
      <c r="H28" s="86" t="s">
        <v>94</v>
      </c>
      <c r="I28" s="64"/>
      <c r="J28" s="64"/>
      <c r="K28" s="64"/>
      <c r="L28" s="64"/>
      <c r="M28" s="64"/>
      <c r="N28" s="64"/>
    </row>
    <row r="29" spans="1:27">
      <c r="A29" s="13" t="s">
        <v>268</v>
      </c>
      <c r="H29" s="87"/>
      <c r="I29" s="64"/>
      <c r="J29" s="64"/>
      <c r="K29" s="64"/>
      <c r="L29" s="64"/>
      <c r="M29" s="64"/>
      <c r="N29" s="64"/>
    </row>
    <row r="30" spans="1:27">
      <c r="A30" s="84" t="s">
        <v>269</v>
      </c>
      <c r="H30" s="86" t="s">
        <v>95</v>
      </c>
      <c r="I30" s="64"/>
      <c r="J30" s="64"/>
      <c r="K30" s="64"/>
      <c r="L30" s="64"/>
      <c r="M30" s="64"/>
      <c r="N30" s="64"/>
    </row>
    <row r="31" spans="1:27">
      <c r="A31" s="84" t="s">
        <v>270</v>
      </c>
      <c r="H31" s="87"/>
      <c r="I31" s="64"/>
      <c r="J31" s="64"/>
      <c r="K31" s="64"/>
      <c r="L31" s="64"/>
      <c r="M31" s="64"/>
      <c r="N31" s="64"/>
    </row>
    <row r="32" spans="1:27">
      <c r="A32" s="13" t="s">
        <v>271</v>
      </c>
      <c r="H32" s="86" t="s">
        <v>96</v>
      </c>
      <c r="I32" s="64"/>
      <c r="J32" s="64"/>
      <c r="K32" s="64"/>
      <c r="L32" s="64"/>
      <c r="M32" s="64"/>
      <c r="N32" s="64"/>
    </row>
    <row r="33" spans="1:14">
      <c r="A33" s="84" t="s">
        <v>272</v>
      </c>
      <c r="H33" s="87"/>
      <c r="I33" s="64"/>
      <c r="J33" s="64"/>
      <c r="K33" s="64"/>
      <c r="L33" s="64"/>
      <c r="M33" s="64"/>
      <c r="N33" s="64"/>
    </row>
    <row r="34" spans="1:14">
      <c r="A34" s="13" t="s">
        <v>273</v>
      </c>
      <c r="H34" s="86" t="s">
        <v>97</v>
      </c>
      <c r="I34" s="64"/>
      <c r="J34" s="64"/>
      <c r="K34" s="64"/>
      <c r="L34" s="64"/>
      <c r="M34" s="64"/>
      <c r="N34" s="64"/>
    </row>
    <row r="35" spans="1:14">
      <c r="A35" s="84" t="s">
        <v>274</v>
      </c>
    </row>
    <row r="36" spans="1:14">
      <c r="A36" s="13" t="s">
        <v>275</v>
      </c>
      <c r="H36" s="23" t="s">
        <v>179</v>
      </c>
    </row>
    <row r="37" spans="1:14">
      <c r="A37" s="84" t="s">
        <v>276</v>
      </c>
    </row>
    <row r="38" spans="1:14">
      <c r="A38" s="13" t="s">
        <v>277</v>
      </c>
    </row>
    <row r="39" spans="1:14">
      <c r="A39" s="84" t="s">
        <v>278</v>
      </c>
    </row>
    <row r="40" spans="1:14">
      <c r="A40" s="13" t="s">
        <v>279</v>
      </c>
    </row>
    <row r="41" spans="1:14">
      <c r="A41" s="84" t="s">
        <v>280</v>
      </c>
    </row>
    <row r="42" spans="1:14">
      <c r="A42" s="13" t="s">
        <v>281</v>
      </c>
    </row>
    <row r="43" spans="1:14">
      <c r="A43" s="84" t="s">
        <v>282</v>
      </c>
    </row>
    <row r="44" spans="1:14">
      <c r="A44" s="13" t="s">
        <v>283</v>
      </c>
    </row>
    <row r="45" spans="1:14">
      <c r="A45" s="84" t="s">
        <v>284</v>
      </c>
    </row>
    <row r="46" spans="1:14">
      <c r="A46" s="13" t="s">
        <v>285</v>
      </c>
    </row>
    <row r="47" spans="1:14">
      <c r="A47" s="84" t="s">
        <v>286</v>
      </c>
    </row>
    <row r="48" spans="1:14">
      <c r="A48" s="13" t="s">
        <v>287</v>
      </c>
    </row>
    <row r="49" spans="1:1">
      <c r="A49" s="84" t="s">
        <v>288</v>
      </c>
    </row>
    <row r="50" spans="1:1">
      <c r="A50" s="13" t="s">
        <v>289</v>
      </c>
    </row>
    <row r="51" spans="1:1">
      <c r="A51" s="13" t="s">
        <v>290</v>
      </c>
    </row>
  </sheetData>
  <phoneticPr fontId="4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9"/>
  <sheetViews>
    <sheetView workbookViewId="0">
      <selection activeCell="G7" sqref="G7"/>
    </sheetView>
  </sheetViews>
  <sheetFormatPr defaultRowHeight="16.5"/>
  <cols>
    <col min="1" max="1" width="31.5" customWidth="1"/>
    <col min="2" max="2" width="29.25" customWidth="1"/>
  </cols>
  <sheetData>
    <row r="1" spans="1:19" ht="17.25" customHeight="1" thickBot="1">
      <c r="A1" s="1" t="s">
        <v>180</v>
      </c>
      <c r="B1" s="1" t="s">
        <v>181</v>
      </c>
    </row>
    <row r="2" spans="1:19">
      <c r="A2" s="12"/>
      <c r="B2" s="4"/>
      <c r="E2" s="67" t="s">
        <v>51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9"/>
    </row>
    <row r="3" spans="1:19">
      <c r="A3" s="12"/>
      <c r="B3" s="4"/>
      <c r="E3" s="68" t="s">
        <v>182</v>
      </c>
      <c r="S3" s="31"/>
    </row>
    <row r="4" spans="1:19">
      <c r="A4" s="4"/>
      <c r="B4" s="4"/>
      <c r="E4" s="69"/>
      <c r="S4" s="31"/>
    </row>
    <row r="5" spans="1:19">
      <c r="A5" s="4"/>
      <c r="B5" s="4"/>
      <c r="E5" s="68" t="s">
        <v>183</v>
      </c>
      <c r="S5" s="31"/>
    </row>
    <row r="6" spans="1:19">
      <c r="A6" s="4"/>
      <c r="B6" s="4"/>
      <c r="E6" s="69"/>
      <c r="S6" s="31"/>
    </row>
    <row r="7" spans="1:19">
      <c r="A7" s="4"/>
      <c r="B7" s="4"/>
      <c r="E7" s="68" t="s">
        <v>184</v>
      </c>
      <c r="S7" s="31"/>
    </row>
    <row r="8" spans="1:19">
      <c r="A8" s="4"/>
      <c r="B8" s="4"/>
      <c r="E8" s="68" t="s">
        <v>185</v>
      </c>
      <c r="S8" s="31"/>
    </row>
    <row r="9" spans="1:19">
      <c r="A9" s="4"/>
      <c r="B9" s="4"/>
      <c r="E9" s="69" t="s">
        <v>186</v>
      </c>
      <c r="S9" s="31"/>
    </row>
    <row r="10" spans="1:19">
      <c r="A10" s="4"/>
      <c r="B10" s="4"/>
      <c r="E10" s="69"/>
      <c r="S10" s="31"/>
    </row>
    <row r="11" spans="1:19">
      <c r="A11" s="4"/>
      <c r="B11" s="4"/>
      <c r="E11" s="68" t="s">
        <v>187</v>
      </c>
      <c r="S11" s="31"/>
    </row>
    <row r="12" spans="1:19">
      <c r="A12" s="4"/>
      <c r="B12" s="4"/>
      <c r="E12" s="68" t="s">
        <v>188</v>
      </c>
      <c r="S12" s="31"/>
    </row>
    <row r="13" spans="1:19">
      <c r="A13" s="4"/>
      <c r="B13" s="4"/>
      <c r="E13" s="68" t="s">
        <v>189</v>
      </c>
      <c r="S13" s="31"/>
    </row>
    <row r="14" spans="1:19">
      <c r="A14" s="4"/>
      <c r="B14" s="4"/>
      <c r="E14" s="69" t="s">
        <v>190</v>
      </c>
      <c r="S14" s="31"/>
    </row>
    <row r="15" spans="1:19">
      <c r="E15" s="69"/>
      <c r="S15" s="31"/>
    </row>
    <row r="16" spans="1:19">
      <c r="E16" s="69"/>
      <c r="S16" s="31"/>
    </row>
    <row r="17" spans="5:19">
      <c r="E17" s="68" t="s">
        <v>191</v>
      </c>
      <c r="S17" s="31"/>
    </row>
    <row r="18" spans="5:19">
      <c r="E18" s="68" t="s">
        <v>192</v>
      </c>
      <c r="S18" s="31"/>
    </row>
    <row r="19" spans="5:19" ht="17.25" customHeight="1" thickBot="1">
      <c r="E19" s="70" t="s">
        <v>193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6"/>
    </row>
  </sheetData>
  <phoneticPr fontId="4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"/>
  <sheetViews>
    <sheetView topLeftCell="A7" workbookViewId="0">
      <selection activeCell="B50" sqref="B50:B51"/>
    </sheetView>
  </sheetViews>
  <sheetFormatPr defaultRowHeight="16.5"/>
  <cols>
    <col min="1" max="1" width="20" customWidth="1"/>
    <col min="2" max="2" width="24.75" customWidth="1"/>
    <col min="3" max="3" width="24" customWidth="1"/>
  </cols>
  <sheetData>
    <row r="1" spans="1:6">
      <c r="A1" s="1" t="s">
        <v>194</v>
      </c>
      <c r="B1" s="1" t="s">
        <v>195</v>
      </c>
      <c r="C1" s="1" t="s">
        <v>196</v>
      </c>
    </row>
    <row r="2" spans="1:6">
      <c r="A2" s="84" t="str">
        <f>IF(Nurses!A2="","",Nurses!A2)</f>
        <v>간호사1</v>
      </c>
      <c r="B2" s="4"/>
      <c r="C2" s="4"/>
      <c r="F2" s="23" t="s">
        <v>51</v>
      </c>
    </row>
    <row r="3" spans="1:6">
      <c r="A3" s="84" t="str">
        <f>IF(Nurses!A3="","",Nurses!A3)</f>
        <v>간호사2</v>
      </c>
      <c r="B3" s="4"/>
      <c r="C3" s="4"/>
      <c r="F3" s="11" t="s">
        <v>197</v>
      </c>
    </row>
    <row r="4" spans="1:6">
      <c r="A4" s="84" t="str">
        <f>IF(Nurses!A4="","",Nurses!A4)</f>
        <v>간호사3</v>
      </c>
      <c r="B4" s="4"/>
      <c r="C4" s="4"/>
    </row>
    <row r="5" spans="1:6">
      <c r="A5" s="84" t="str">
        <f>IF(Nurses!A5="","",Nurses!A5)</f>
        <v>간호사4</v>
      </c>
      <c r="B5" s="4"/>
      <c r="C5" s="4"/>
    </row>
    <row r="6" spans="1:6">
      <c r="A6" s="84" t="str">
        <f>IF(Nurses!A6="","",Nurses!A6)</f>
        <v>간호사5</v>
      </c>
      <c r="B6" s="4"/>
      <c r="C6" s="4"/>
    </row>
    <row r="7" spans="1:6">
      <c r="A7" s="84" t="str">
        <f>IF(Nurses!A7="","",Nurses!A7)</f>
        <v>간호사6</v>
      </c>
      <c r="B7" s="4"/>
      <c r="C7" s="4"/>
    </row>
    <row r="8" spans="1:6">
      <c r="A8" s="84" t="str">
        <f>IF(Nurses!A8="","",Nurses!A8)</f>
        <v>간호사7</v>
      </c>
      <c r="B8" s="4"/>
      <c r="C8" s="4"/>
    </row>
    <row r="9" spans="1:6">
      <c r="A9" s="84" t="str">
        <f>IF(Nurses!A9="","",Nurses!A9)</f>
        <v>간호사8</v>
      </c>
      <c r="B9" s="4"/>
      <c r="C9" s="4"/>
    </row>
    <row r="10" spans="1:6">
      <c r="A10" s="84" t="str">
        <f>IF(Nurses!A10="","",Nurses!A10)</f>
        <v>간호사9</v>
      </c>
      <c r="B10" s="4"/>
      <c r="C10" s="4"/>
    </row>
    <row r="11" spans="1:6">
      <c r="A11" s="84" t="str">
        <f>IF(Nurses!A11="","",Nurses!A11)</f>
        <v>간호사10</v>
      </c>
      <c r="B11" s="4"/>
      <c r="C11" s="4"/>
    </row>
    <row r="12" spans="1:6">
      <c r="A12" s="84" t="str">
        <f>IF(Nurses!A12="","",Nurses!A12)</f>
        <v>간호사11</v>
      </c>
      <c r="B12" s="4"/>
      <c r="C12" s="4"/>
    </row>
    <row r="13" spans="1:6">
      <c r="A13" s="84" t="str">
        <f>IF(Nurses!A13="","",Nurses!A13)</f>
        <v>간호사12</v>
      </c>
      <c r="B13" s="4"/>
      <c r="C13" s="4"/>
    </row>
    <row r="14" spans="1:6">
      <c r="A14" s="84" t="str">
        <f>IF(Nurses!A14="","",Nurses!A14)</f>
        <v>간호사13</v>
      </c>
      <c r="B14" s="4"/>
      <c r="C14" s="4"/>
    </row>
    <row r="15" spans="1:6">
      <c r="A15" s="84" t="str">
        <f>IF(Nurses!A15="","",Nurses!A15)</f>
        <v>간호사14</v>
      </c>
      <c r="B15" s="4"/>
      <c r="C15" s="4"/>
    </row>
    <row r="16" spans="1:6">
      <c r="A16" s="84" t="str">
        <f>IF(Nurses!A16="","",Nurses!A16)</f>
        <v>간호사15</v>
      </c>
      <c r="B16" s="4"/>
      <c r="C16" s="4"/>
    </row>
    <row r="17" spans="1:3">
      <c r="A17" s="84" t="str">
        <f>IF(Nurses!A17="","",Nurses!A17)</f>
        <v>간호사16</v>
      </c>
      <c r="B17" s="4"/>
      <c r="C17" s="4"/>
    </row>
    <row r="18" spans="1:3">
      <c r="A18" s="84" t="str">
        <f>IF(Nurses!A18="","",Nurses!A18)</f>
        <v>간호사17</v>
      </c>
      <c r="B18" s="4"/>
      <c r="C18" s="4"/>
    </row>
    <row r="19" spans="1:3">
      <c r="A19" s="84" t="str">
        <f>IF(Nurses!A19="","",Nurses!A19)</f>
        <v>간호사18</v>
      </c>
      <c r="B19" s="4"/>
      <c r="C19" s="4"/>
    </row>
    <row r="20" spans="1:3">
      <c r="A20" s="84" t="str">
        <f>IF(Nurses!A20="","",Nurses!A20)</f>
        <v>간호사19</v>
      </c>
      <c r="B20" s="4"/>
      <c r="C20" s="4"/>
    </row>
    <row r="21" spans="1:3">
      <c r="A21" s="84" t="str">
        <f>IF(Nurses!A21="","",Nurses!A21)</f>
        <v>간호사20</v>
      </c>
      <c r="B21" s="4"/>
      <c r="C21" s="4"/>
    </row>
    <row r="22" spans="1:3">
      <c r="A22" s="84" t="str">
        <f>IF(Nurses!A22="","",Nurses!A22)</f>
        <v>간호사21</v>
      </c>
      <c r="B22" s="4"/>
      <c r="C22" s="4"/>
    </row>
    <row r="23" spans="1:3">
      <c r="A23" s="84" t="str">
        <f>IF(Nurses!A23="","",Nurses!A23)</f>
        <v>간호사22</v>
      </c>
      <c r="B23" s="4"/>
      <c r="C23" s="4"/>
    </row>
    <row r="24" spans="1:3">
      <c r="A24" s="84" t="str">
        <f>IF(Nurses!A24="","",Nurses!A24)</f>
        <v>간호사23</v>
      </c>
      <c r="B24" s="4"/>
      <c r="C24" s="4"/>
    </row>
    <row r="25" spans="1:3">
      <c r="A25" s="84" t="str">
        <f>IF(Nurses!A25="","",Nurses!A25)</f>
        <v>간호사24</v>
      </c>
      <c r="B25" s="4"/>
      <c r="C25" s="4"/>
    </row>
    <row r="26" spans="1:3">
      <c r="A26" s="84" t="str">
        <f>IF(Nurses!A26="","",Nurses!A26)</f>
        <v>간호사25</v>
      </c>
      <c r="B26" s="4"/>
      <c r="C26" s="4"/>
    </row>
    <row r="27" spans="1:3">
      <c r="A27" s="84" t="str">
        <f>IF(Nurses!A27="","",Nurses!A27)</f>
        <v>간호사26</v>
      </c>
      <c r="B27" s="4"/>
      <c r="C27" s="4"/>
    </row>
    <row r="28" spans="1:3">
      <c r="A28" s="84" t="str">
        <f>IF(Nurses!A28="","",Nurses!A28)</f>
        <v>간호사27</v>
      </c>
      <c r="B28" s="4"/>
      <c r="C28" s="4"/>
    </row>
    <row r="29" spans="1:3">
      <c r="A29" s="84" t="str">
        <f>IF(Nurses!A29="","",Nurses!A29)</f>
        <v>간호사28</v>
      </c>
      <c r="B29" s="4"/>
      <c r="C29" s="4"/>
    </row>
    <row r="30" spans="1:3">
      <c r="A30" s="84" t="str">
        <f>IF(Nurses!A30="","",Nurses!A30)</f>
        <v>간호사29</v>
      </c>
      <c r="B30" s="4"/>
      <c r="C30" s="4"/>
    </row>
    <row r="31" spans="1:3">
      <c r="A31" s="84" t="str">
        <f>IF(Nurses!A31="","",Nurses!A31)</f>
        <v>간호사30</v>
      </c>
      <c r="B31" s="4"/>
      <c r="C31" s="4"/>
    </row>
    <row r="32" spans="1:3">
      <c r="A32" s="84" t="str">
        <f>IF(Nurses!A32="","",Nurses!A32)</f>
        <v>간호사31</v>
      </c>
      <c r="B32" s="4"/>
      <c r="C32" s="4"/>
    </row>
    <row r="33" spans="1:3">
      <c r="A33" s="84" t="str">
        <f>IF(Nurses!A33="","",Nurses!A33)</f>
        <v>간호사32</v>
      </c>
      <c r="B33" s="4"/>
      <c r="C33" s="4"/>
    </row>
    <row r="34" spans="1:3">
      <c r="A34" s="84" t="str">
        <f>IF(Nurses!A34="","",Nurses!A34)</f>
        <v>간호사33</v>
      </c>
      <c r="B34" s="4"/>
      <c r="C34" s="4"/>
    </row>
    <row r="35" spans="1:3">
      <c r="A35" s="84" t="str">
        <f>IF(Nurses!A35="","",Nurses!A35)</f>
        <v>간호사34</v>
      </c>
      <c r="B35" s="4"/>
      <c r="C35" s="4"/>
    </row>
    <row r="36" spans="1:3">
      <c r="A36" s="84" t="str">
        <f>IF(Nurses!A36="","",Nurses!A36)</f>
        <v>간호사35</v>
      </c>
      <c r="B36" s="4"/>
      <c r="C36" s="4"/>
    </row>
    <row r="37" spans="1:3">
      <c r="A37" s="84" t="str">
        <f>IF(Nurses!A37="","",Nurses!A37)</f>
        <v>간호사36</v>
      </c>
      <c r="B37" s="4"/>
      <c r="C37" s="4"/>
    </row>
    <row r="38" spans="1:3">
      <c r="A38" s="84" t="str">
        <f>IF(Nurses!A38="","",Nurses!A38)</f>
        <v>간호사37</v>
      </c>
      <c r="B38" s="4"/>
      <c r="C38" s="4"/>
    </row>
    <row r="39" spans="1:3">
      <c r="A39" s="84" t="str">
        <f>IF(Nurses!A39="","",Nurses!A39)</f>
        <v>간호사38</v>
      </c>
      <c r="B39" s="4"/>
      <c r="C39" s="4"/>
    </row>
    <row r="40" spans="1:3">
      <c r="A40" s="84" t="str">
        <f>IF(Nurses!A40="","",Nurses!A40)</f>
        <v>간호사39</v>
      </c>
      <c r="B40" s="4"/>
      <c r="C40" s="4"/>
    </row>
    <row r="41" spans="1:3">
      <c r="A41" s="84" t="str">
        <f>IF(Nurses!A41="","",Nurses!A41)</f>
        <v>간호사40</v>
      </c>
      <c r="B41" s="4"/>
      <c r="C41" s="4"/>
    </row>
    <row r="42" spans="1:3">
      <c r="A42" s="84" t="str">
        <f>IF(Nurses!A42="","",Nurses!A42)</f>
        <v>간호사41</v>
      </c>
      <c r="B42" s="4"/>
      <c r="C42" s="4"/>
    </row>
    <row r="43" spans="1:3">
      <c r="A43" s="84" t="str">
        <f>IF(Nurses!A43="","",Nurses!A43)</f>
        <v>간호사42</v>
      </c>
      <c r="B43" s="4"/>
      <c r="C43" s="4"/>
    </row>
    <row r="44" spans="1:3">
      <c r="A44" s="84" t="str">
        <f>IF(Nurses!A44="","",Nurses!A44)</f>
        <v>간호사43</v>
      </c>
      <c r="B44" s="4"/>
      <c r="C44" s="4"/>
    </row>
    <row r="45" spans="1:3">
      <c r="A45" s="84" t="str">
        <f>IF(Nurses!A45="","",Nurses!A45)</f>
        <v>간호사44</v>
      </c>
      <c r="B45" s="4"/>
      <c r="C45" s="4"/>
    </row>
    <row r="46" spans="1:3">
      <c r="A46" s="84" t="str">
        <f>IF(Nurses!A46="","",Nurses!A46)</f>
        <v>간호사45</v>
      </c>
      <c r="B46" s="4"/>
      <c r="C46" s="4"/>
    </row>
    <row r="47" spans="1:3">
      <c r="A47" s="84" t="str">
        <f>IF(Nurses!A47="","",Nurses!A47)</f>
        <v>간호사46</v>
      </c>
      <c r="B47" s="4"/>
      <c r="C47" s="4"/>
    </row>
    <row r="48" spans="1:3">
      <c r="A48" s="84" t="str">
        <f>IF(Nurses!A48="","",Nurses!A48)</f>
        <v>간호사47</v>
      </c>
      <c r="B48" s="4"/>
      <c r="C48" s="4"/>
    </row>
    <row r="49" spans="1:3">
      <c r="A49" s="84" t="str">
        <f>IF(Nurses!A49="","",Nurses!A49)</f>
        <v>간호사48</v>
      </c>
      <c r="B49" s="4"/>
      <c r="C49" s="4"/>
    </row>
    <row r="50" spans="1:3">
      <c r="A50" s="84" t="str">
        <f>IF(Nurses!A50="","",Nurses!A50)</f>
        <v>간호사49</v>
      </c>
      <c r="B50" s="4"/>
      <c r="C50" s="4"/>
    </row>
    <row r="51" spans="1:3">
      <c r="A51" s="84" t="str">
        <f>IF(Nurses!A51="","",Nurses!A51)</f>
        <v>간호사50</v>
      </c>
      <c r="B51" s="4"/>
      <c r="C51" s="4"/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51"/>
  <sheetViews>
    <sheetView workbookViewId="0">
      <pane xSplit="1" ySplit="1" topLeftCell="B20" activePane="bottomRight" state="frozen"/>
      <selection pane="topRight"/>
      <selection pane="bottomLeft"/>
      <selection pane="bottomRight" activeCell="B50" sqref="B50:AF51"/>
    </sheetView>
  </sheetViews>
  <sheetFormatPr defaultRowHeight="16.5"/>
  <cols>
    <col min="1" max="1" width="20" customWidth="1"/>
    <col min="2" max="32" width="4.5" customWidth="1"/>
  </cols>
  <sheetData>
    <row r="1" spans="1:45" ht="17.25" customHeight="1">
      <c r="A1" s="5" t="s">
        <v>194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5">
        <v>18</v>
      </c>
      <c r="T1" s="5">
        <v>19</v>
      </c>
      <c r="U1" s="5">
        <v>20</v>
      </c>
      <c r="V1" s="5">
        <v>21</v>
      </c>
      <c r="W1" s="5">
        <v>22</v>
      </c>
      <c r="X1" s="5">
        <v>23</v>
      </c>
      <c r="Y1" s="5">
        <v>24</v>
      </c>
      <c r="Z1" s="5">
        <v>25</v>
      </c>
      <c r="AA1" s="5">
        <v>26</v>
      </c>
      <c r="AB1" s="5">
        <v>27</v>
      </c>
      <c r="AC1" s="5">
        <v>28</v>
      </c>
      <c r="AD1" s="5">
        <v>29</v>
      </c>
      <c r="AE1" s="5">
        <v>30</v>
      </c>
      <c r="AF1" s="5">
        <v>31</v>
      </c>
      <c r="AG1" s="6"/>
      <c r="AH1" s="75" t="s">
        <v>51</v>
      </c>
    </row>
    <row r="2" spans="1:45" ht="17.25" customHeight="1">
      <c r="A2" s="84" t="str">
        <f>IF(Nurses!A2="","",Nurses!A2)</f>
        <v>간호사1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6"/>
      <c r="AH2" s="76" t="s">
        <v>198</v>
      </c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</row>
    <row r="3" spans="1:45" ht="17.25" customHeight="1">
      <c r="A3" s="84" t="str">
        <f>IF(Nurses!A3="","",Nurses!A3)</f>
        <v>간호사2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6"/>
      <c r="AH3" s="77" t="s">
        <v>199</v>
      </c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</row>
    <row r="4" spans="1:45" ht="17.25" customHeight="1">
      <c r="A4" s="84" t="str">
        <f>IF(Nurses!A4="","",Nurses!A4)</f>
        <v>간호사3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6"/>
      <c r="AH4" s="77" t="s">
        <v>200</v>
      </c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</row>
    <row r="5" spans="1:45" ht="17.25" customHeight="1">
      <c r="A5" s="84" t="str">
        <f>IF(Nurses!A5="","",Nurses!A5)</f>
        <v>간호사4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6"/>
      <c r="AH5" s="77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</row>
    <row r="6" spans="1:45" ht="17.25" customHeight="1">
      <c r="A6" s="84" t="str">
        <f>IF(Nurses!A6="","",Nurses!A6)</f>
        <v>간호사5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6"/>
      <c r="AH6" s="76" t="s">
        <v>201</v>
      </c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</row>
    <row r="7" spans="1:45" ht="17.25" customHeight="1">
      <c r="A7" s="84" t="str">
        <f>IF(Nurses!A7="","",Nurses!A7)</f>
        <v>간호사6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6"/>
      <c r="AH7" s="77" t="s">
        <v>202</v>
      </c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</row>
    <row r="8" spans="1:45" ht="17.25" customHeight="1">
      <c r="A8" s="84" t="str">
        <f>IF(Nurses!A8="","",Nurses!A8)</f>
        <v>간호사7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6"/>
      <c r="AH8" s="78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</row>
    <row r="9" spans="1:45" ht="17.25" customHeight="1">
      <c r="A9" s="84" t="str">
        <f>IF(Nurses!A9="","",Nurses!A9)</f>
        <v>간호사8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6"/>
      <c r="AH9" s="76" t="s">
        <v>203</v>
      </c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</row>
    <row r="10" spans="1:45" ht="17.25" customHeight="1">
      <c r="A10" s="84" t="str">
        <f>IF(Nurses!A10="","",Nurses!A10)</f>
        <v>간호사9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6"/>
      <c r="AH10" s="77" t="s">
        <v>204</v>
      </c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</row>
    <row r="11" spans="1:45" ht="17.25" customHeight="1">
      <c r="A11" s="84" t="str">
        <f>IF(Nurses!A11="","",Nurses!A11)</f>
        <v>간호사10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6"/>
      <c r="AH11" s="78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</row>
    <row r="12" spans="1:45" ht="17.25" customHeight="1">
      <c r="A12" s="84" t="str">
        <f>IF(Nurses!A12="","",Nurses!A12)</f>
        <v>간호사11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6"/>
      <c r="AH12" s="77" t="s">
        <v>205</v>
      </c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</row>
    <row r="13" spans="1:45" ht="17.25" customHeight="1">
      <c r="A13" s="84" t="str">
        <f>IF(Nurses!A13="","",Nurses!A13)</f>
        <v>간호사12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6"/>
      <c r="AH13" s="78" t="s">
        <v>206</v>
      </c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</row>
    <row r="14" spans="1:45" ht="17.25" customHeight="1">
      <c r="A14" s="84" t="str">
        <f>IF(Nurses!A14="","",Nurses!A14)</f>
        <v>간호사13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H14" s="78" t="s">
        <v>207</v>
      </c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</row>
    <row r="15" spans="1:45">
      <c r="A15" s="84" t="str">
        <f>IF(Nurses!A15="","",Nurses!A15)</f>
        <v>간호사14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45">
      <c r="A16" s="84" t="str">
        <f>IF(Nurses!A16="","",Nurses!A16)</f>
        <v>간호사15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4">
      <c r="A17" s="84" t="str">
        <f>IF(Nurses!A17="","",Nurses!A17)</f>
        <v>간호사16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4">
      <c r="A18" s="84" t="str">
        <f>IF(Nurses!A18="","",Nurses!A18)</f>
        <v>간호사17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H18" s="19"/>
    </row>
    <row r="19" spans="1:34">
      <c r="A19" s="84" t="str">
        <f>IF(Nurses!A19="","",Nurses!A19)</f>
        <v>간호사18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4">
      <c r="A20" s="84" t="str">
        <f>IF(Nurses!A20="","",Nurses!A20)</f>
        <v>간호사19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H20" s="16"/>
    </row>
    <row r="21" spans="1:34">
      <c r="A21" s="84" t="str">
        <f>IF(Nurses!A21="","",Nurses!A21)</f>
        <v>간호사20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4">
      <c r="A22" s="84" t="str">
        <f>IF(Nurses!A22="","",Nurses!A22)</f>
        <v>간호사21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4">
      <c r="A23" s="84" t="str">
        <f>IF(Nurses!A23="","",Nurses!A23)</f>
        <v>간호사22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4">
      <c r="A24" s="84" t="str">
        <f>IF(Nurses!A24="","",Nurses!A24)</f>
        <v>간호사23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4">
      <c r="A25" s="84" t="str">
        <f>IF(Nurses!A25="","",Nurses!A25)</f>
        <v>간호사24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H25" s="19"/>
    </row>
    <row r="26" spans="1:34">
      <c r="A26" s="84" t="str">
        <f>IF(Nurses!A26="","",Nurses!A26)</f>
        <v>간호사25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H26" s="19"/>
    </row>
    <row r="27" spans="1:34">
      <c r="A27" s="84" t="str">
        <f>IF(Nurses!A27="","",Nurses!A27)</f>
        <v>간호사26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4">
      <c r="A28" s="84" t="str">
        <f>IF(Nurses!A28="","",Nurses!A28)</f>
        <v>간호사27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4">
      <c r="A29" s="84" t="str">
        <f>IF(Nurses!A29="","",Nurses!A29)</f>
        <v>간호사28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4">
      <c r="A30" s="84" t="str">
        <f>IF(Nurses!A30="","",Nurses!A30)</f>
        <v>간호사29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4">
      <c r="A31" s="84" t="str">
        <f>IF(Nurses!A31="","",Nurses!A31)</f>
        <v>간호사30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4">
      <c r="A32" s="84" t="str">
        <f>IF(Nurses!A32="","",Nurses!A32)</f>
        <v>간호사31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>
      <c r="A33" s="84" t="str">
        <f>IF(Nurses!A33="","",Nurses!A33)</f>
        <v>간호사32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>
      <c r="A34" s="84" t="str">
        <f>IF(Nurses!A34="","",Nurses!A34)</f>
        <v>간호사33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>
      <c r="A35" s="84" t="str">
        <f>IF(Nurses!A35="","",Nurses!A35)</f>
        <v>간호사34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>
      <c r="A36" s="84" t="str">
        <f>IF(Nurses!A36="","",Nurses!A36)</f>
        <v>간호사35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>
      <c r="A37" s="84" t="str">
        <f>IF(Nurses!A37="","",Nurses!A37)</f>
        <v>간호사36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>
      <c r="A38" s="84" t="str">
        <f>IF(Nurses!A38="","",Nurses!A38)</f>
        <v>간호사37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>
      <c r="A39" s="84" t="str">
        <f>IF(Nurses!A39="","",Nurses!A39)</f>
        <v>간호사38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>
      <c r="A40" s="84" t="str">
        <f>IF(Nurses!A40="","",Nurses!A40)</f>
        <v>간호사39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>
      <c r="A41" s="84" t="str">
        <f>IF(Nurses!A41="","",Nurses!A41)</f>
        <v>간호사40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>
      <c r="A42" s="84" t="str">
        <f>IF(Nurses!A42="","",Nurses!A42)</f>
        <v>간호사41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>
      <c r="A43" s="84" t="str">
        <f>IF(Nurses!A43="","",Nurses!A43)</f>
        <v>간호사42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>
      <c r="A44" s="84" t="str">
        <f>IF(Nurses!A44="","",Nurses!A44)</f>
        <v>간호사43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>
      <c r="A45" s="84" t="str">
        <f>IF(Nurses!A45="","",Nurses!A45)</f>
        <v>간호사44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>
      <c r="A46" s="84" t="str">
        <f>IF(Nurses!A46="","",Nurses!A46)</f>
        <v>간호사45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>
      <c r="A47" s="84" t="str">
        <f>IF(Nurses!A47="","",Nurses!A47)</f>
        <v>간호사46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>
      <c r="A48" s="84" t="str">
        <f>IF(Nurses!A48="","",Nurses!A48)</f>
        <v>간호사47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>
      <c r="A49" s="84" t="str">
        <f>IF(Nurses!A49="","",Nurses!A49)</f>
        <v>간호사48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>
      <c r="A50" s="84" t="str">
        <f>IF(Nurses!A50="","",Nurses!A50)</f>
        <v>간호사49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>
      <c r="A51" s="84" t="str">
        <f>IF(Nurses!A51="","",Nurses!A51)</f>
        <v>간호사50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51"/>
  <sheetViews>
    <sheetView workbookViewId="0">
      <pane xSplit="1" ySplit="1" topLeftCell="B22" activePane="bottomRight" state="frozen"/>
      <selection pane="topRight"/>
      <selection pane="bottomLeft"/>
      <selection pane="bottomRight" activeCell="B50" sqref="B50:AF51"/>
    </sheetView>
  </sheetViews>
  <sheetFormatPr defaultRowHeight="16.5"/>
  <cols>
    <col min="1" max="1" width="20" customWidth="1"/>
    <col min="2" max="32" width="4.5" customWidth="1"/>
  </cols>
  <sheetData>
    <row r="1" spans="1:42">
      <c r="A1" s="5" t="s">
        <v>194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5">
        <v>18</v>
      </c>
      <c r="T1" s="5">
        <v>19</v>
      </c>
      <c r="U1" s="5">
        <v>20</v>
      </c>
      <c r="V1" s="5">
        <v>21</v>
      </c>
      <c r="W1" s="5">
        <v>22</v>
      </c>
      <c r="X1" s="5">
        <v>23</v>
      </c>
      <c r="Y1" s="5">
        <v>24</v>
      </c>
      <c r="Z1" s="5">
        <v>25</v>
      </c>
      <c r="AA1" s="5">
        <v>26</v>
      </c>
      <c r="AB1" s="5">
        <v>27</v>
      </c>
      <c r="AC1" s="5">
        <v>28</v>
      </c>
      <c r="AD1" s="5">
        <v>29</v>
      </c>
      <c r="AE1" s="5">
        <v>30</v>
      </c>
      <c r="AF1" s="5">
        <v>31</v>
      </c>
    </row>
    <row r="2" spans="1:42">
      <c r="A2" s="84" t="str">
        <f>IF(Nurses!A2="","",Nurses!A2)</f>
        <v>간호사1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42">
      <c r="A3" s="84" t="str">
        <f>IF(Nurses!A3="","",Nurses!A3)</f>
        <v>간호사2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6"/>
      <c r="AH3" s="40" t="s">
        <v>51</v>
      </c>
    </row>
    <row r="4" spans="1:42">
      <c r="A4" s="84" t="str">
        <f>IF(Nurses!A4="","",Nurses!A4)</f>
        <v>간호사3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6"/>
      <c r="AH4" s="65" t="s">
        <v>208</v>
      </c>
      <c r="AI4" s="80"/>
      <c r="AJ4" s="80"/>
      <c r="AK4" s="80"/>
      <c r="AL4" s="80"/>
      <c r="AM4" s="80"/>
      <c r="AN4" s="80"/>
      <c r="AO4" s="80"/>
      <c r="AP4" s="80"/>
    </row>
    <row r="5" spans="1:42">
      <c r="A5" s="84" t="str">
        <f>IF(Nurses!A5="","",Nurses!A5)</f>
        <v>간호사4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6"/>
      <c r="AH5" s="65"/>
      <c r="AI5" s="80"/>
      <c r="AJ5" s="80"/>
      <c r="AK5" s="80"/>
      <c r="AL5" s="80"/>
      <c r="AM5" s="80"/>
      <c r="AN5" s="80"/>
      <c r="AO5" s="80"/>
      <c r="AP5" s="80"/>
    </row>
    <row r="6" spans="1:42">
      <c r="A6" s="84" t="str">
        <f>IF(Nurses!A6="","",Nurses!A6)</f>
        <v>간호사5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6"/>
      <c r="AH6" s="79" t="s">
        <v>209</v>
      </c>
      <c r="AI6" s="80"/>
      <c r="AJ6" s="80"/>
      <c r="AK6" s="80"/>
      <c r="AL6" s="80"/>
      <c r="AM6" s="80"/>
      <c r="AN6" s="80"/>
      <c r="AO6" s="80"/>
      <c r="AP6" s="80"/>
    </row>
    <row r="7" spans="1:42">
      <c r="A7" s="84" t="str">
        <f>IF(Nurses!A7="","",Nurses!A7)</f>
        <v>간호사6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6"/>
      <c r="AH7" s="65"/>
      <c r="AI7" s="80"/>
      <c r="AJ7" s="80"/>
      <c r="AK7" s="80"/>
      <c r="AL7" s="80"/>
      <c r="AM7" s="80"/>
      <c r="AN7" s="80"/>
      <c r="AO7" s="80"/>
      <c r="AP7" s="80"/>
    </row>
    <row r="8" spans="1:42">
      <c r="A8" s="84" t="str">
        <f>IF(Nurses!A8="","",Nurses!A8)</f>
        <v>간호사7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6"/>
      <c r="AH8" s="65" t="s">
        <v>210</v>
      </c>
      <c r="AI8" s="80"/>
      <c r="AJ8" s="80"/>
      <c r="AK8" s="80"/>
      <c r="AL8" s="80"/>
      <c r="AM8" s="80"/>
      <c r="AN8" s="80"/>
      <c r="AO8" s="80"/>
      <c r="AP8" s="80"/>
    </row>
    <row r="9" spans="1:42">
      <c r="A9" s="84" t="str">
        <f>IF(Nurses!A9="","",Nurses!A9)</f>
        <v>간호사8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6"/>
      <c r="AH9" s="81"/>
      <c r="AI9" s="80"/>
      <c r="AJ9" s="80"/>
      <c r="AK9" s="80"/>
      <c r="AL9" s="80"/>
      <c r="AM9" s="80"/>
      <c r="AN9" s="80"/>
      <c r="AO9" s="80"/>
      <c r="AP9" s="80"/>
    </row>
    <row r="10" spans="1:42">
      <c r="A10" s="84" t="str">
        <f>IF(Nurses!A10="","",Nurses!A10)</f>
        <v>간호사9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6"/>
      <c r="AH10" s="82" t="s">
        <v>211</v>
      </c>
      <c r="AI10" s="80"/>
      <c r="AJ10" s="80"/>
      <c r="AK10" s="80"/>
      <c r="AL10" s="80"/>
      <c r="AM10" s="80"/>
      <c r="AN10" s="80"/>
      <c r="AO10" s="80"/>
      <c r="AP10" s="80"/>
    </row>
    <row r="11" spans="1:42">
      <c r="A11" s="84" t="str">
        <f>IF(Nurses!A11="","",Nurses!A11)</f>
        <v>간호사10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6"/>
    </row>
    <row r="12" spans="1:42">
      <c r="A12" s="84" t="str">
        <f>IF(Nurses!A12="","",Nurses!A12)</f>
        <v>간호사11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6"/>
    </row>
    <row r="13" spans="1:42">
      <c r="A13" s="84" t="str">
        <f>IF(Nurses!A13="","",Nurses!A13)</f>
        <v>간호사12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6"/>
    </row>
    <row r="14" spans="1:42">
      <c r="A14" s="84" t="str">
        <f>IF(Nurses!A14="","",Nurses!A14)</f>
        <v>간호사13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42">
      <c r="A15" s="84" t="str">
        <f>IF(Nurses!A15="","",Nurses!A15)</f>
        <v>간호사14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42">
      <c r="A16" s="84" t="str">
        <f>IF(Nurses!A16="","",Nurses!A16)</f>
        <v>간호사15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>
      <c r="A17" s="84" t="str">
        <f>IF(Nurses!A17="","",Nurses!A17)</f>
        <v>간호사16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>
      <c r="A18" s="84" t="str">
        <f>IF(Nurses!A18="","",Nurses!A18)</f>
        <v>간호사17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>
      <c r="A19" s="84" t="str">
        <f>IF(Nurses!A19="","",Nurses!A19)</f>
        <v>간호사18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>
      <c r="A20" s="84" t="str">
        <f>IF(Nurses!A20="","",Nurses!A20)</f>
        <v>간호사19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>
      <c r="A21" s="84" t="str">
        <f>IF(Nurses!A21="","",Nurses!A21)</f>
        <v>간호사20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>
      <c r="A22" s="84" t="str">
        <f>IF(Nurses!A22="","",Nurses!A22)</f>
        <v>간호사21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>
      <c r="A23" s="84" t="str">
        <f>IF(Nurses!A23="","",Nurses!A23)</f>
        <v>간호사22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>
      <c r="A24" s="84" t="str">
        <f>IF(Nurses!A24="","",Nurses!A24)</f>
        <v>간호사23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>
      <c r="A25" s="84" t="str">
        <f>IF(Nurses!A25="","",Nurses!A25)</f>
        <v>간호사24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>
      <c r="A26" s="84" t="str">
        <f>IF(Nurses!A26="","",Nurses!A26)</f>
        <v>간호사25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>
      <c r="A27" s="84" t="str">
        <f>IF(Nurses!A27="","",Nurses!A27)</f>
        <v>간호사26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>
      <c r="A28" s="84" t="str">
        <f>IF(Nurses!A28="","",Nurses!A28)</f>
        <v>간호사27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>
      <c r="A29" s="84" t="str">
        <f>IF(Nurses!A29="","",Nurses!A29)</f>
        <v>간호사28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>
      <c r="A30" s="84" t="str">
        <f>IF(Nurses!A30="","",Nurses!A30)</f>
        <v>간호사29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>
      <c r="A31" s="84" t="str">
        <f>IF(Nurses!A31="","",Nurses!A31)</f>
        <v>간호사30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>
      <c r="A32" s="84" t="str">
        <f>IF(Nurses!A32="","",Nurses!A32)</f>
        <v>간호사31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>
      <c r="A33" s="84" t="str">
        <f>IF(Nurses!A33="","",Nurses!A33)</f>
        <v>간호사32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>
      <c r="A34" s="84" t="str">
        <f>IF(Nurses!A34="","",Nurses!A34)</f>
        <v>간호사33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>
      <c r="A35" s="84" t="str">
        <f>IF(Nurses!A35="","",Nurses!A35)</f>
        <v>간호사34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>
      <c r="A36" s="84" t="str">
        <f>IF(Nurses!A36="","",Nurses!A36)</f>
        <v>간호사35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>
      <c r="A37" s="84" t="str">
        <f>IF(Nurses!A37="","",Nurses!A37)</f>
        <v>간호사36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>
      <c r="A38" s="84" t="str">
        <f>IF(Nurses!A38="","",Nurses!A38)</f>
        <v>간호사37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>
      <c r="A39" s="84" t="str">
        <f>IF(Nurses!A39="","",Nurses!A39)</f>
        <v>간호사38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>
      <c r="A40" s="84" t="str">
        <f>IF(Nurses!A40="","",Nurses!A40)</f>
        <v>간호사39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>
      <c r="A41" s="84" t="str">
        <f>IF(Nurses!A41="","",Nurses!A41)</f>
        <v>간호사40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>
      <c r="A42" s="84" t="str">
        <f>IF(Nurses!A42="","",Nurses!A42)</f>
        <v>간호사41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>
      <c r="A43" s="84" t="str">
        <f>IF(Nurses!A43="","",Nurses!A43)</f>
        <v>간호사42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>
      <c r="A44" s="84" t="str">
        <f>IF(Nurses!A44="","",Nurses!A44)</f>
        <v>간호사43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>
      <c r="A45" s="84" t="str">
        <f>IF(Nurses!A45="","",Nurses!A45)</f>
        <v>간호사44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>
      <c r="A46" s="84" t="str">
        <f>IF(Nurses!A46="","",Nurses!A46)</f>
        <v>간호사45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>
      <c r="A47" s="84" t="str">
        <f>IF(Nurses!A47="","",Nurses!A47)</f>
        <v>간호사46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>
      <c r="A48" s="84" t="str">
        <f>IF(Nurses!A48="","",Nurses!A48)</f>
        <v>간호사47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>
      <c r="A49" s="84" t="str">
        <f>IF(Nurses!A49="","",Nurses!A49)</f>
        <v>간호사48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>
      <c r="A50" s="84" t="str">
        <f>IF(Nurses!A50="","",Nurses!A50)</f>
        <v>간호사49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>
      <c r="A51" s="84" t="str">
        <f>IF(Nurses!A51="","",Nurses!A51)</f>
        <v>간호사50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</sheetData>
  <phoneticPr fontId="4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51"/>
  <sheetViews>
    <sheetView topLeftCell="A10" workbookViewId="0">
      <selection activeCell="A50" sqref="A50:A51"/>
    </sheetView>
  </sheetViews>
  <sheetFormatPr defaultRowHeight="16.5"/>
  <cols>
    <col min="1" max="1" width="23.75" customWidth="1"/>
  </cols>
  <sheetData>
    <row r="1" spans="1:17">
      <c r="A1" s="14" t="s">
        <v>152</v>
      </c>
      <c r="B1" s="14" t="s">
        <v>212</v>
      </c>
      <c r="C1" s="14" t="s">
        <v>213</v>
      </c>
      <c r="D1" s="14" t="s">
        <v>214</v>
      </c>
      <c r="E1" s="14" t="s">
        <v>215</v>
      </c>
      <c r="F1" s="14" t="s">
        <v>216</v>
      </c>
    </row>
    <row r="2" spans="1:17">
      <c r="A2" s="84" t="str">
        <f>IF(Nurses!A2="","",Nurses!A2)</f>
        <v>간호사1</v>
      </c>
      <c r="J2" s="23" t="s">
        <v>51</v>
      </c>
      <c r="K2" s="11"/>
      <c r="L2" s="11"/>
      <c r="M2" s="11"/>
      <c r="N2" s="11"/>
      <c r="O2" s="11"/>
      <c r="P2" s="11"/>
      <c r="Q2" s="11"/>
    </row>
    <row r="3" spans="1:17">
      <c r="A3" s="84" t="str">
        <f>IF(Nurses!A3="","",Nurses!A3)</f>
        <v>간호사2</v>
      </c>
      <c r="J3" s="11" t="s">
        <v>217</v>
      </c>
      <c r="K3" s="11"/>
      <c r="L3" s="11"/>
      <c r="M3" s="11"/>
      <c r="N3" s="11"/>
      <c r="O3" s="11"/>
      <c r="P3" s="11"/>
      <c r="Q3" s="11"/>
    </row>
    <row r="4" spans="1:17">
      <c r="A4" s="84" t="str">
        <f>IF(Nurses!A4="","",Nurses!A4)</f>
        <v>간호사3</v>
      </c>
      <c r="J4" s="11" t="s">
        <v>218</v>
      </c>
    </row>
    <row r="5" spans="1:17">
      <c r="A5" s="84" t="str">
        <f>IF(Nurses!A5="","",Nurses!A5)</f>
        <v>간호사4</v>
      </c>
    </row>
    <row r="6" spans="1:17">
      <c r="A6" s="84" t="str">
        <f>IF(Nurses!A6="","",Nurses!A6)</f>
        <v>간호사5</v>
      </c>
    </row>
    <row r="7" spans="1:17">
      <c r="A7" s="84" t="str">
        <f>IF(Nurses!A7="","",Nurses!A7)</f>
        <v>간호사6</v>
      </c>
    </row>
    <row r="8" spans="1:17">
      <c r="A8" s="84" t="str">
        <f>IF(Nurses!A8="","",Nurses!A8)</f>
        <v>간호사7</v>
      </c>
    </row>
    <row r="9" spans="1:17">
      <c r="A9" s="84" t="str">
        <f>IF(Nurses!A9="","",Nurses!A9)</f>
        <v>간호사8</v>
      </c>
    </row>
    <row r="10" spans="1:17">
      <c r="A10" s="84" t="str">
        <f>IF(Nurses!A10="","",Nurses!A10)</f>
        <v>간호사9</v>
      </c>
    </row>
    <row r="11" spans="1:17">
      <c r="A11" s="84" t="str">
        <f>IF(Nurses!A11="","",Nurses!A11)</f>
        <v>간호사10</v>
      </c>
    </row>
    <row r="12" spans="1:17">
      <c r="A12" s="84" t="str">
        <f>IF(Nurses!A12="","",Nurses!A12)</f>
        <v>간호사11</v>
      </c>
    </row>
    <row r="13" spans="1:17">
      <c r="A13" s="84" t="str">
        <f>IF(Nurses!A13="","",Nurses!A13)</f>
        <v>간호사12</v>
      </c>
    </row>
    <row r="14" spans="1:17">
      <c r="A14" s="84" t="str">
        <f>IF(Nurses!A14="","",Nurses!A14)</f>
        <v>간호사13</v>
      </c>
    </row>
    <row r="15" spans="1:17">
      <c r="A15" s="84" t="str">
        <f>IF(Nurses!A15="","",Nurses!A15)</f>
        <v>간호사14</v>
      </c>
    </row>
    <row r="16" spans="1:17">
      <c r="A16" s="84" t="str">
        <f>IF(Nurses!A16="","",Nurses!A16)</f>
        <v>간호사15</v>
      </c>
    </row>
    <row r="17" spans="1:1">
      <c r="A17" s="84" t="str">
        <f>IF(Nurses!A17="","",Nurses!A17)</f>
        <v>간호사16</v>
      </c>
    </row>
    <row r="18" spans="1:1">
      <c r="A18" s="84" t="str">
        <f>IF(Nurses!A18="","",Nurses!A18)</f>
        <v>간호사17</v>
      </c>
    </row>
    <row r="19" spans="1:1">
      <c r="A19" s="84" t="str">
        <f>IF(Nurses!A19="","",Nurses!A19)</f>
        <v>간호사18</v>
      </c>
    </row>
    <row r="20" spans="1:1">
      <c r="A20" s="84" t="str">
        <f>IF(Nurses!A20="","",Nurses!A20)</f>
        <v>간호사19</v>
      </c>
    </row>
    <row r="21" spans="1:1">
      <c r="A21" s="84" t="str">
        <f>IF(Nurses!A21="","",Nurses!A21)</f>
        <v>간호사20</v>
      </c>
    </row>
    <row r="22" spans="1:1">
      <c r="A22" s="84" t="str">
        <f>IF(Nurses!A22="","",Nurses!A22)</f>
        <v>간호사21</v>
      </c>
    </row>
    <row r="23" spans="1:1">
      <c r="A23" s="84" t="str">
        <f>IF(Nurses!A23="","",Nurses!A23)</f>
        <v>간호사22</v>
      </c>
    </row>
    <row r="24" spans="1:1">
      <c r="A24" s="84" t="str">
        <f>IF(Nurses!A24="","",Nurses!A24)</f>
        <v>간호사23</v>
      </c>
    </row>
    <row r="25" spans="1:1">
      <c r="A25" s="84" t="str">
        <f>IF(Nurses!A25="","",Nurses!A25)</f>
        <v>간호사24</v>
      </c>
    </row>
    <row r="26" spans="1:1">
      <c r="A26" s="84" t="str">
        <f>IF(Nurses!A26="","",Nurses!A26)</f>
        <v>간호사25</v>
      </c>
    </row>
    <row r="27" spans="1:1">
      <c r="A27" s="84" t="str">
        <f>IF(Nurses!A27="","",Nurses!A27)</f>
        <v>간호사26</v>
      </c>
    </row>
    <row r="28" spans="1:1">
      <c r="A28" s="84" t="str">
        <f>IF(Nurses!A28="","",Nurses!A28)</f>
        <v>간호사27</v>
      </c>
    </row>
    <row r="29" spans="1:1">
      <c r="A29" s="84" t="str">
        <f>IF(Nurses!A29="","",Nurses!A29)</f>
        <v>간호사28</v>
      </c>
    </row>
    <row r="30" spans="1:1">
      <c r="A30" s="84" t="str">
        <f>IF(Nurses!A30="","",Nurses!A30)</f>
        <v>간호사29</v>
      </c>
    </row>
    <row r="31" spans="1:1">
      <c r="A31" s="84" t="str">
        <f>IF(Nurses!A31="","",Nurses!A31)</f>
        <v>간호사30</v>
      </c>
    </row>
    <row r="32" spans="1:1">
      <c r="A32" s="84" t="str">
        <f>IF(Nurses!A32="","",Nurses!A32)</f>
        <v>간호사31</v>
      </c>
    </row>
    <row r="33" spans="1:1">
      <c r="A33" s="84" t="str">
        <f>IF(Nurses!A33="","",Nurses!A33)</f>
        <v>간호사32</v>
      </c>
    </row>
    <row r="34" spans="1:1">
      <c r="A34" s="84" t="str">
        <f>IF(Nurses!A34="","",Nurses!A34)</f>
        <v>간호사33</v>
      </c>
    </row>
    <row r="35" spans="1:1">
      <c r="A35" s="84" t="str">
        <f>IF(Nurses!A35="","",Nurses!A35)</f>
        <v>간호사34</v>
      </c>
    </row>
    <row r="36" spans="1:1">
      <c r="A36" s="84" t="str">
        <f>IF(Nurses!A36="","",Nurses!A36)</f>
        <v>간호사35</v>
      </c>
    </row>
    <row r="37" spans="1:1">
      <c r="A37" s="84" t="str">
        <f>IF(Nurses!A37="","",Nurses!A37)</f>
        <v>간호사36</v>
      </c>
    </row>
    <row r="38" spans="1:1">
      <c r="A38" s="84" t="str">
        <f>IF(Nurses!A38="","",Nurses!A38)</f>
        <v>간호사37</v>
      </c>
    </row>
    <row r="39" spans="1:1">
      <c r="A39" s="84" t="str">
        <f>IF(Nurses!A39="","",Nurses!A39)</f>
        <v>간호사38</v>
      </c>
    </row>
    <row r="40" spans="1:1">
      <c r="A40" s="84" t="str">
        <f>IF(Nurses!A40="","",Nurses!A40)</f>
        <v>간호사39</v>
      </c>
    </row>
    <row r="41" spans="1:1">
      <c r="A41" s="84" t="str">
        <f>IF(Nurses!A41="","",Nurses!A41)</f>
        <v>간호사40</v>
      </c>
    </row>
    <row r="42" spans="1:1">
      <c r="A42" s="84" t="str">
        <f>IF(Nurses!A42="","",Nurses!A42)</f>
        <v>간호사41</v>
      </c>
    </row>
    <row r="43" spans="1:1">
      <c r="A43" s="84" t="str">
        <f>IF(Nurses!A43="","",Nurses!A43)</f>
        <v>간호사42</v>
      </c>
    </row>
    <row r="44" spans="1:1">
      <c r="A44" s="84" t="str">
        <f>IF(Nurses!A44="","",Nurses!A44)</f>
        <v>간호사43</v>
      </c>
    </row>
    <row r="45" spans="1:1">
      <c r="A45" s="84" t="str">
        <f>IF(Nurses!A45="","",Nurses!A45)</f>
        <v>간호사44</v>
      </c>
    </row>
    <row r="46" spans="1:1">
      <c r="A46" s="84" t="str">
        <f>IF(Nurses!A46="","",Nurses!A46)</f>
        <v>간호사45</v>
      </c>
    </row>
    <row r="47" spans="1:1">
      <c r="A47" s="84" t="str">
        <f>IF(Nurses!A47="","",Nurses!A47)</f>
        <v>간호사46</v>
      </c>
    </row>
    <row r="48" spans="1:1">
      <c r="A48" s="84" t="str">
        <f>IF(Nurses!A48="","",Nurses!A48)</f>
        <v>간호사47</v>
      </c>
    </row>
    <row r="49" spans="1:1">
      <c r="A49" s="84" t="str">
        <f>IF(Nurses!A49="","",Nurses!A49)</f>
        <v>간호사48</v>
      </c>
    </row>
    <row r="50" spans="1:1">
      <c r="A50" s="84" t="str">
        <f>IF(Nurses!A50="","",Nurses!A50)</f>
        <v>간호사49</v>
      </c>
    </row>
    <row r="51" spans="1:1">
      <c r="A51" s="84" t="str">
        <f>IF(Nurses!A51="","",Nurses!A51)</f>
        <v>간호사50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30"/>
  <sheetViews>
    <sheetView workbookViewId="0">
      <pane xSplit="1" ySplit="3" topLeftCell="B4" activePane="bottomRight" state="frozen"/>
      <selection pane="topRight"/>
      <selection pane="bottomLeft"/>
      <selection pane="bottomRight" activeCell="T33" sqref="T33"/>
    </sheetView>
  </sheetViews>
  <sheetFormatPr defaultRowHeight="16.5"/>
  <cols>
    <col min="1" max="1" width="20" customWidth="1"/>
    <col min="2" max="32" width="4.25" customWidth="1"/>
    <col min="33" max="42" width="12" customWidth="1"/>
  </cols>
  <sheetData>
    <row r="1" spans="1:42">
      <c r="A1" s="98" t="s">
        <v>219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</row>
    <row r="2" spans="1:42">
      <c r="A2" s="8" t="s">
        <v>220</v>
      </c>
      <c r="B2" s="6" t="s">
        <v>221</v>
      </c>
      <c r="C2" s="6" t="s">
        <v>222</v>
      </c>
      <c r="D2" s="6" t="s">
        <v>222</v>
      </c>
      <c r="E2" s="6" t="s">
        <v>222</v>
      </c>
      <c r="F2" s="6" t="s">
        <v>222</v>
      </c>
      <c r="G2" s="6" t="s">
        <v>222</v>
      </c>
      <c r="H2" s="6" t="s">
        <v>221</v>
      </c>
      <c r="I2" s="6" t="s">
        <v>221</v>
      </c>
      <c r="J2" s="6" t="s">
        <v>222</v>
      </c>
      <c r="K2" s="6" t="s">
        <v>222</v>
      </c>
      <c r="L2" s="6" t="s">
        <v>222</v>
      </c>
      <c r="M2" s="6" t="s">
        <v>222</v>
      </c>
      <c r="N2" s="6" t="s">
        <v>222</v>
      </c>
      <c r="O2" s="6" t="s">
        <v>221</v>
      </c>
      <c r="P2" s="6" t="s">
        <v>221</v>
      </c>
      <c r="Q2" s="6" t="s">
        <v>222</v>
      </c>
      <c r="R2" s="6" t="s">
        <v>222</v>
      </c>
      <c r="S2" s="6" t="s">
        <v>222</v>
      </c>
      <c r="T2" s="6" t="s">
        <v>222</v>
      </c>
      <c r="U2" s="6" t="s">
        <v>222</v>
      </c>
      <c r="V2" s="6" t="s">
        <v>221</v>
      </c>
      <c r="W2" s="6" t="s">
        <v>221</v>
      </c>
      <c r="X2" s="6" t="s">
        <v>222</v>
      </c>
      <c r="Y2" s="6" t="s">
        <v>222</v>
      </c>
      <c r="Z2" s="6" t="s">
        <v>222</v>
      </c>
      <c r="AA2" s="6" t="s">
        <v>222</v>
      </c>
      <c r="AB2" s="6" t="s">
        <v>222</v>
      </c>
      <c r="AC2" s="6" t="s">
        <v>221</v>
      </c>
      <c r="AD2" s="6" t="s">
        <v>221</v>
      </c>
      <c r="AE2" s="6" t="s">
        <v>222</v>
      </c>
      <c r="AF2" s="6" t="s">
        <v>222</v>
      </c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>
      <c r="A3" s="5" t="s">
        <v>194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5">
        <v>14</v>
      </c>
      <c r="P3" s="5">
        <v>15</v>
      </c>
      <c r="Q3" s="5">
        <v>16</v>
      </c>
      <c r="R3" s="5">
        <v>17</v>
      </c>
      <c r="S3" s="5">
        <v>18</v>
      </c>
      <c r="T3" s="5">
        <v>19</v>
      </c>
      <c r="U3" s="5">
        <v>20</v>
      </c>
      <c r="V3" s="5">
        <v>21</v>
      </c>
      <c r="W3" s="5">
        <v>22</v>
      </c>
      <c r="X3" s="5">
        <v>23</v>
      </c>
      <c r="Y3" s="5">
        <v>24</v>
      </c>
      <c r="Z3" s="5">
        <v>25</v>
      </c>
      <c r="AA3" s="5">
        <v>26</v>
      </c>
      <c r="AB3" s="5">
        <v>27</v>
      </c>
      <c r="AC3" s="5">
        <v>28</v>
      </c>
      <c r="AD3" s="5">
        <v>29</v>
      </c>
      <c r="AE3" s="5">
        <v>30</v>
      </c>
      <c r="AF3" s="5">
        <v>31</v>
      </c>
      <c r="AG3" s="5" t="s">
        <v>223</v>
      </c>
      <c r="AH3" s="5" t="s">
        <v>224</v>
      </c>
      <c r="AI3" s="5" t="s">
        <v>225</v>
      </c>
      <c r="AJ3" s="5" t="s">
        <v>226</v>
      </c>
      <c r="AK3" s="5" t="s">
        <v>227</v>
      </c>
      <c r="AL3" s="5" t="s">
        <v>228</v>
      </c>
      <c r="AM3" s="5" t="s">
        <v>229</v>
      </c>
      <c r="AN3" s="5" t="s">
        <v>230</v>
      </c>
      <c r="AO3" s="5" t="s">
        <v>231</v>
      </c>
      <c r="AP3" s="5" t="s">
        <v>232</v>
      </c>
    </row>
    <row r="4" spans="1:42">
      <c r="A4" t="s">
        <v>157</v>
      </c>
    </row>
    <row r="5" spans="1:42">
      <c r="A5" t="s">
        <v>158</v>
      </c>
    </row>
    <row r="6" spans="1:42">
      <c r="A6" t="s">
        <v>160</v>
      </c>
    </row>
    <row r="7" spans="1:42">
      <c r="A7" t="s">
        <v>162</v>
      </c>
    </row>
    <row r="8" spans="1:42">
      <c r="A8" t="s">
        <v>164</v>
      </c>
    </row>
    <row r="9" spans="1:42">
      <c r="A9" t="s">
        <v>165</v>
      </c>
    </row>
    <row r="10" spans="1:42">
      <c r="A10" t="s">
        <v>167</v>
      </c>
    </row>
    <row r="11" spans="1:42">
      <c r="A11" t="s">
        <v>169</v>
      </c>
    </row>
    <row r="12" spans="1:42">
      <c r="A12" t="s">
        <v>171</v>
      </c>
    </row>
    <row r="13" spans="1:42">
      <c r="A13" t="s">
        <v>172</v>
      </c>
    </row>
    <row r="14" spans="1:42">
      <c r="A14" t="s">
        <v>174</v>
      </c>
    </row>
    <row r="15" spans="1:42">
      <c r="A15" t="s">
        <v>175</v>
      </c>
    </row>
    <row r="16" spans="1:42">
      <c r="A16" t="s">
        <v>253</v>
      </c>
    </row>
    <row r="17" spans="1:1">
      <c r="A17" t="s">
        <v>254</v>
      </c>
    </row>
    <row r="18" spans="1:1">
      <c r="A18" t="s">
        <v>255</v>
      </c>
    </row>
    <row r="19" spans="1:1">
      <c r="A19" t="s">
        <v>256</v>
      </c>
    </row>
    <row r="20" spans="1:1">
      <c r="A20" t="s">
        <v>257</v>
      </c>
    </row>
    <row r="21" spans="1:1">
      <c r="A21" t="s">
        <v>258</v>
      </c>
    </row>
    <row r="22" spans="1:1">
      <c r="A22" t="s">
        <v>259</v>
      </c>
    </row>
    <row r="23" spans="1:1">
      <c r="A23" t="s">
        <v>260</v>
      </c>
    </row>
    <row r="24" spans="1:1">
      <c r="A24" t="s">
        <v>261</v>
      </c>
    </row>
    <row r="25" spans="1:1">
      <c r="A25" t="s">
        <v>262</v>
      </c>
    </row>
    <row r="26" spans="1:1">
      <c r="A26" t="s">
        <v>263</v>
      </c>
    </row>
    <row r="27" spans="1:1">
      <c r="A27" t="s">
        <v>264</v>
      </c>
    </row>
    <row r="28" spans="1:1">
      <c r="A28" t="s">
        <v>265</v>
      </c>
    </row>
    <row r="29" spans="1:1">
      <c r="A29" t="s">
        <v>266</v>
      </c>
    </row>
    <row r="30" spans="1:1">
      <c r="A30" t="s">
        <v>267</v>
      </c>
    </row>
  </sheetData>
  <mergeCells count="1">
    <mergeCell ref="A1:AP1"/>
  </mergeCells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"/>
  <sheetViews>
    <sheetView workbookViewId="0">
      <selection activeCell="A2" sqref="A2:C9"/>
    </sheetView>
  </sheetViews>
  <sheetFormatPr defaultRowHeight="16.5"/>
  <cols>
    <col min="1" max="1" width="20" customWidth="1"/>
    <col min="2" max="2" width="12" customWidth="1"/>
    <col min="3" max="3" width="18" customWidth="1"/>
    <col min="4" max="5" width="14" customWidth="1"/>
    <col min="6" max="6" width="16" customWidth="1"/>
  </cols>
  <sheetData>
    <row r="1" spans="1:6">
      <c r="A1" s="1" t="s">
        <v>194</v>
      </c>
      <c r="B1" s="1" t="s">
        <v>233</v>
      </c>
      <c r="C1" s="1" t="s">
        <v>220</v>
      </c>
      <c r="D1" s="1" t="s">
        <v>234</v>
      </c>
      <c r="E1" s="1" t="s">
        <v>235</v>
      </c>
      <c r="F1" s="1" t="s">
        <v>236</v>
      </c>
    </row>
  </sheetData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3"/>
  <sheetViews>
    <sheetView workbookViewId="0">
      <selection activeCell="K31" sqref="K31"/>
    </sheetView>
  </sheetViews>
  <sheetFormatPr defaultRowHeight="16.5"/>
  <cols>
    <col min="1" max="1" width="20" customWidth="1"/>
    <col min="2" max="3" width="14" customWidth="1"/>
    <col min="4" max="4" width="18" customWidth="1"/>
    <col min="5" max="6" width="14" customWidth="1"/>
    <col min="7" max="8" width="16" customWidth="1"/>
    <col min="9" max="9" width="12" customWidth="1"/>
  </cols>
  <sheetData>
    <row r="1" spans="1:9">
      <c r="A1" s="5" t="s">
        <v>194</v>
      </c>
      <c r="B1" s="5" t="s">
        <v>237</v>
      </c>
      <c r="C1" s="5" t="s">
        <v>238</v>
      </c>
      <c r="D1" s="5" t="s">
        <v>239</v>
      </c>
      <c r="E1" s="5" t="s">
        <v>240</v>
      </c>
      <c r="F1" s="5" t="s">
        <v>241</v>
      </c>
      <c r="G1" s="5" t="s">
        <v>242</v>
      </c>
      <c r="H1" s="5" t="s">
        <v>243</v>
      </c>
      <c r="I1" s="5" t="s">
        <v>244</v>
      </c>
    </row>
    <row r="2" spans="1:9">
      <c r="I2" s="93"/>
    </row>
    <row r="3" spans="1:9">
      <c r="I3" s="93"/>
    </row>
    <row r="4" spans="1:9">
      <c r="I4" s="93"/>
    </row>
    <row r="5" spans="1:9">
      <c r="I5" s="93"/>
    </row>
    <row r="6" spans="1:9">
      <c r="I6" s="93"/>
    </row>
    <row r="7" spans="1:9">
      <c r="I7" s="93"/>
    </row>
    <row r="8" spans="1:9">
      <c r="I8" s="93"/>
    </row>
    <row r="9" spans="1:9">
      <c r="I9" s="93"/>
    </row>
    <row r="10" spans="1:9">
      <c r="I10" s="93"/>
    </row>
    <row r="11" spans="1:9">
      <c r="I11" s="93"/>
    </row>
    <row r="12" spans="1:9">
      <c r="I12" s="93"/>
    </row>
    <row r="13" spans="1:9">
      <c r="I13" s="93"/>
    </row>
  </sheetData>
  <phoneticPr fontId="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2"/>
  <sheetViews>
    <sheetView workbookViewId="0">
      <selection activeCell="N27" sqref="N27"/>
    </sheetView>
  </sheetViews>
  <sheetFormatPr defaultRowHeight="16.5"/>
  <cols>
    <col min="1" max="2" width="12" customWidth="1"/>
    <col min="3" max="9" width="10" customWidth="1"/>
  </cols>
  <sheetData>
    <row r="1" spans="1:9">
      <c r="A1" s="5" t="s">
        <v>233</v>
      </c>
      <c r="B1" s="5" t="s">
        <v>220</v>
      </c>
      <c r="C1" s="5" t="s">
        <v>245</v>
      </c>
      <c r="D1" s="5" t="s">
        <v>246</v>
      </c>
      <c r="E1" s="5" t="s">
        <v>247</v>
      </c>
      <c r="F1" s="5" t="s">
        <v>248</v>
      </c>
      <c r="G1" s="5" t="s">
        <v>249</v>
      </c>
      <c r="H1" s="5" t="s">
        <v>250</v>
      </c>
      <c r="I1" s="5" t="s">
        <v>251</v>
      </c>
    </row>
    <row r="2" spans="1:9">
      <c r="I2" s="93"/>
    </row>
    <row r="3" spans="1:9">
      <c r="I3" s="93"/>
    </row>
    <row r="4" spans="1:9">
      <c r="I4" s="93"/>
    </row>
    <row r="5" spans="1:9">
      <c r="I5" s="93"/>
    </row>
    <row r="6" spans="1:9">
      <c r="I6" s="93"/>
    </row>
    <row r="7" spans="1:9">
      <c r="I7" s="93"/>
    </row>
    <row r="8" spans="1:9">
      <c r="I8" s="93"/>
    </row>
    <row r="9" spans="1:9">
      <c r="I9" s="93"/>
    </row>
    <row r="10" spans="1:9">
      <c r="I10" s="93"/>
    </row>
    <row r="11" spans="1:9">
      <c r="I11" s="93"/>
    </row>
    <row r="12" spans="1:9">
      <c r="I12" s="93"/>
    </row>
    <row r="13" spans="1:9">
      <c r="I13" s="93"/>
    </row>
    <row r="14" spans="1:9">
      <c r="I14" s="93"/>
    </row>
    <row r="15" spans="1:9">
      <c r="I15" s="93"/>
    </row>
    <row r="16" spans="1:9">
      <c r="I16" s="93"/>
    </row>
    <row r="17" spans="9:9">
      <c r="I17" s="93"/>
    </row>
    <row r="18" spans="9:9">
      <c r="I18" s="93"/>
    </row>
    <row r="19" spans="9:9">
      <c r="I19" s="93"/>
    </row>
    <row r="20" spans="9:9">
      <c r="I20" s="93"/>
    </row>
    <row r="21" spans="9:9">
      <c r="I21" s="93"/>
    </row>
    <row r="22" spans="9:9">
      <c r="I22" s="93"/>
    </row>
    <row r="23" spans="9:9">
      <c r="I23" s="93"/>
    </row>
    <row r="24" spans="9:9">
      <c r="I24" s="93"/>
    </row>
    <row r="25" spans="9:9">
      <c r="I25" s="93"/>
    </row>
    <row r="26" spans="9:9">
      <c r="I26" s="93"/>
    </row>
    <row r="27" spans="9:9">
      <c r="I27" s="93"/>
    </row>
    <row r="28" spans="9:9">
      <c r="I28" s="93"/>
    </row>
    <row r="29" spans="9:9">
      <c r="I29" s="93"/>
    </row>
    <row r="30" spans="9:9">
      <c r="I30" s="93"/>
    </row>
    <row r="31" spans="9:9">
      <c r="I31" s="93"/>
    </row>
    <row r="32" spans="9:9">
      <c r="I32" s="93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설명서</vt:lpstr>
      <vt:lpstr>Setup</vt:lpstr>
      <vt:lpstr>Nurses</vt:lpstr>
      <vt:lpstr>Holidays</vt:lpstr>
      <vt:lpstr>Restrictions</vt:lpstr>
      <vt:lpstr>OffRequests</vt:lpstr>
      <vt:lpstr>ShiftPreferences</vt:lpstr>
      <vt:lpstr>PrevMonth</vt:lpstr>
      <vt:lpstr>Schedule</vt:lpstr>
      <vt:lpstr>RequestsSummary</vt:lpstr>
      <vt:lpstr>Validation</vt:lpstr>
      <vt:lpstr>DailyCoverage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송민영</cp:lastModifiedBy>
  <dcterms:created xsi:type="dcterms:W3CDTF">2026-03-06T09:59:21Z</dcterms:created>
  <dcterms:modified xsi:type="dcterms:W3CDTF">2026-03-31T13:25:35Z</dcterms:modified>
</cp:coreProperties>
</file>